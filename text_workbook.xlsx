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abulal" sheetId="1" state="visible" r:id="rId1"/>
    <sheet name="Bhagwat" sheetId="2" state="visible" r:id="rId2"/>
    <sheet name="Naval" sheetId="3" state="visible" r:id="rId3"/>
    <sheet name="Surendra Chhipma" sheetId="4" state="visible" r:id="rId4"/>
    <sheet name="Bharatbhai Ferawala" sheetId="5" state="visible" r:id="rId5"/>
    <sheet name="Tejsingh Sisodiya" sheetId="6" state="visible" r:id="rId6"/>
    <sheet name="Shaileshbhai Prajapati" sheetId="7" state="visible" r:id="rId7"/>
    <sheet name="Hireshbhai Lakhvara" sheetId="8" state="visible" r:id="rId8"/>
    <sheet name="Dharmendrabhai staff" sheetId="9" state="visible" r:id="rId9"/>
    <sheet name="Babulal Fafda - Stadium" sheetId="10" state="visible" r:id="rId10"/>
    <sheet name="_App_Attendance" sheetId="11" state="visible" r:id="rId11"/>
    <sheet name="_App_Audit" sheetId="12" state="visible" r:id="rId12"/>
    <sheet name="_App_Config" sheetId="13" state="visible" r:id="rId13"/>
  </sheets>
  <definedNames>
    <definedName name="_xlnm._FilterDatabase" localSheetId="0" hidden="1">'Babulal'!$A$2:$P$104</definedName>
    <definedName name="_xlnm.Print_Area" localSheetId="0">'Babulal'!$A$1:$J$107</definedName>
    <definedName name="_xlnm._FilterDatabase" localSheetId="1" hidden="1">'Bhagwat'!$A$2:$P$104</definedName>
    <definedName name="_xlnm.Print_Area" localSheetId="1">'Bhagwat'!$A$1:$J$107</definedName>
    <definedName name="_xlnm._FilterDatabase" localSheetId="2" hidden="1">'Naval'!$A$2:$P$104</definedName>
    <definedName name="_xlnm.Print_Area" localSheetId="2">'Naval'!$A$1:$J$107</definedName>
    <definedName name="_xlnm._FilterDatabase" localSheetId="3" hidden="1">'Surendra Chhipma'!$A$2:$P$104</definedName>
    <definedName name="_xlnm.Print_Area" localSheetId="3">'Surendra Chhipma'!$A$1:$J$107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(* #,##0_);_(* \(#,##0\);_(* &quot;-&quot;??_);_(@_)"/>
    <numFmt numFmtId="165" formatCode="_(* #,##0.0_);_(* \(#,##0.0\);_(* &quot;-&quot;??_);_(@_)"/>
    <numFmt numFmtId="166" formatCode="&quot;₹&quot;\ #,##0"/>
    <numFmt numFmtId="167" formatCode="0.000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LTGUJ-Deepika"/>
      <b val="1"/>
      <sz val="18"/>
    </font>
    <font>
      <name val="Calibri"/>
      <family val="2"/>
      <b val="1"/>
      <sz val="18"/>
      <scheme val="minor"/>
    </font>
    <font>
      <name val="Arial"/>
      <family val="2"/>
      <b val="1"/>
      <color indexed="12"/>
      <sz val="9"/>
    </font>
    <font>
      <name val="Arial"/>
      <family val="2"/>
      <b val="1"/>
      <color indexed="12"/>
      <sz val="16"/>
    </font>
    <font>
      <name val="Arial"/>
      <family val="2"/>
      <sz val="11"/>
    </font>
    <font>
      <name val="Arial"/>
      <family val="2"/>
      <b val="1"/>
      <sz val="10"/>
    </font>
    <font>
      <name val="Calibri"/>
      <family val="2"/>
      <b val="1"/>
      <color indexed="10"/>
      <sz val="12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color theme="1"/>
      <sz val="9"/>
    </font>
    <font>
      <name val="Arial"/>
      <family val="2"/>
      <b val="1"/>
      <sz val="11"/>
    </font>
    <font>
      <name val="Arial"/>
      <family val="2"/>
      <b val="1"/>
      <sz val="12"/>
    </font>
    <font>
      <name val="Arial"/>
      <family val="2"/>
      <b val="1"/>
      <color theme="1"/>
      <sz val="11"/>
    </font>
    <font>
      <name val="Arial"/>
      <family val="2"/>
      <b val="1"/>
      <color theme="1"/>
      <sz val="10"/>
    </font>
    <font>
      <name val="Calibri"/>
      <family val="2"/>
      <color theme="1"/>
      <sz val="12"/>
      <scheme val="minor"/>
    </font>
    <font>
      <name val="Arial"/>
      <family val="2"/>
      <b val="1"/>
      <color indexed="12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8" tint="0.7999816888943144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0" fontId="2" fillId="0" borderId="0"/>
  </cellStyleXfs>
  <cellXfs count="96">
    <xf numFmtId="0" fontId="0" fillId="0" borderId="0" pivotButton="0" quotePrefix="0" xfId="0"/>
    <xf numFmtId="164" fontId="7" fillId="2" borderId="2" applyProtection="1" pivotButton="0" quotePrefix="0" xfId="1">
      <protection locked="0" hidden="0"/>
    </xf>
    <xf numFmtId="165" fontId="7" fillId="2" borderId="2" applyProtection="1" pivotButton="0" quotePrefix="0" xfId="1">
      <protection locked="0" hidden="0"/>
    </xf>
    <xf numFmtId="166" fontId="0" fillId="2" borderId="2" pivotButton="0" quotePrefix="0" xfId="0"/>
    <xf numFmtId="166" fontId="2" fillId="2" borderId="2" applyAlignment="1" pivotButton="0" quotePrefix="0" xfId="1">
      <alignment horizontal="center"/>
    </xf>
    <xf numFmtId="49" fontId="12" fillId="2" borderId="2" applyAlignment="1" pivotButton="0" quotePrefix="0" xfId="1">
      <alignment horizontal="left"/>
    </xf>
    <xf numFmtId="167" fontId="10" fillId="2" borderId="2" applyAlignment="1" pivotButton="0" quotePrefix="0" xfId="1">
      <alignment horizontal="right"/>
    </xf>
    <xf numFmtId="0" fontId="11" fillId="2" borderId="2" applyAlignment="1" pivotButton="0" quotePrefix="0" xfId="0">
      <alignment horizontal="left"/>
    </xf>
    <xf numFmtId="49" fontId="12" fillId="3" borderId="2" applyAlignment="1" pivotButton="0" quotePrefix="0" xfId="1">
      <alignment horizontal="left"/>
    </xf>
    <xf numFmtId="167" fontId="10" fillId="3" borderId="2" applyAlignment="1" pivotButton="0" quotePrefix="0" xfId="1">
      <alignment horizontal="right"/>
    </xf>
    <xf numFmtId="0" fontId="10" fillId="2" borderId="2" applyProtection="1" pivotButton="0" quotePrefix="0" xfId="0">
      <protection locked="0" hidden="0"/>
    </xf>
    <xf numFmtId="0" fontId="10" fillId="3" borderId="2" applyProtection="1" pivotButton="0" quotePrefix="0" xfId="0">
      <protection locked="0" hidden="0"/>
    </xf>
    <xf numFmtId="0" fontId="11" fillId="3" borderId="2" applyAlignment="1" pivotButton="0" quotePrefix="0" xfId="0">
      <alignment horizontal="left"/>
    </xf>
    <xf numFmtId="0" fontId="0" fillId="0" borderId="2" pivotButton="0" quotePrefix="0" xfId="0"/>
    <xf numFmtId="0" fontId="5" fillId="2" borderId="2" applyProtection="1" pivotButton="0" quotePrefix="0" xfId="0">
      <protection locked="0" hidden="0"/>
    </xf>
    <xf numFmtId="49" fontId="6" fillId="2" borderId="2" applyAlignment="1" applyProtection="1" pivotButton="0" quotePrefix="0" xfId="0">
      <alignment horizontal="left"/>
      <protection locked="0" hidden="0"/>
    </xf>
    <xf numFmtId="164" fontId="7" fillId="2" borderId="2" applyAlignment="1" applyProtection="1" pivotButton="0" quotePrefix="0" xfId="1">
      <alignment wrapText="1"/>
      <protection locked="0" hidden="0"/>
    </xf>
    <xf numFmtId="0" fontId="2" fillId="2" borderId="2" applyAlignment="1" pivotButton="0" quotePrefix="0" xfId="0">
      <alignment horizontal="center" wrapText="1"/>
    </xf>
    <xf numFmtId="0" fontId="8" fillId="2" borderId="2" applyAlignment="1" pivotButton="0" quotePrefix="0" xfId="0">
      <alignment horizontal="center" wrapText="1"/>
    </xf>
    <xf numFmtId="43" fontId="9" fillId="2" borderId="2" applyAlignment="1" pivotButton="0" quotePrefix="0" xfId="1">
      <alignment horizontal="center" wrapText="1"/>
    </xf>
    <xf numFmtId="165" fontId="13" fillId="2" borderId="2" applyProtection="1" pivotButton="0" quotePrefix="0" xfId="1">
      <protection locked="0" hidden="0"/>
    </xf>
    <xf numFmtId="1" fontId="0" fillId="2" borderId="2" pivotButton="0" quotePrefix="0" xfId="0"/>
    <xf numFmtId="0" fontId="3" fillId="4" borderId="2" pivotButton="0" quotePrefix="0" xfId="2"/>
    <xf numFmtId="0" fontId="4" fillId="4" borderId="2" applyAlignment="1" pivotButton="0" quotePrefix="0" xfId="2">
      <alignment horizontal="left"/>
    </xf>
    <xf numFmtId="0" fontId="3" fillId="4" borderId="2" applyAlignment="1" pivotButton="0" quotePrefix="0" xfId="2">
      <alignment horizontal="center"/>
    </xf>
    <xf numFmtId="0" fontId="0" fillId="4" borderId="2" pivotButton="0" quotePrefix="0" xfId="0"/>
    <xf numFmtId="43" fontId="9" fillId="2" borderId="3" applyAlignment="1" pivotButton="0" quotePrefix="0" xfId="1">
      <alignment horizontal="center" wrapText="1"/>
    </xf>
    <xf numFmtId="0" fontId="0" fillId="0" borderId="3" pivotButton="0" quotePrefix="0" xfId="0"/>
    <xf numFmtId="164" fontId="14" fillId="2" borderId="4" pivotButton="0" quotePrefix="0" xfId="1"/>
    <xf numFmtId="166" fontId="3" fillId="4" borderId="2" pivotButton="0" quotePrefix="0" xfId="2"/>
    <xf numFmtId="166" fontId="8" fillId="2" borderId="2" applyAlignment="1" pivotButton="0" quotePrefix="0" xfId="0">
      <alignment horizontal="center" wrapText="1"/>
    </xf>
    <xf numFmtId="166" fontId="14" fillId="2" borderId="4" pivotButton="0" quotePrefix="0" xfId="1"/>
    <xf numFmtId="166" fontId="0" fillId="0" borderId="0" pivotButton="0" quotePrefix="0" xfId="0"/>
    <xf numFmtId="3" fontId="14" fillId="2" borderId="2" pivotButton="0" quotePrefix="0" xfId="1"/>
    <xf numFmtId="166" fontId="14" fillId="2" borderId="1" pivotButton="0" quotePrefix="0" xfId="1"/>
    <xf numFmtId="166" fontId="14" fillId="2" borderId="2" pivotButton="0" quotePrefix="0" xfId="1"/>
    <xf numFmtId="0" fontId="15" fillId="2" borderId="2" applyAlignment="1" pivotButton="0" quotePrefix="0" xfId="0">
      <alignment horizontal="left"/>
    </xf>
    <xf numFmtId="0" fontId="16" fillId="2" borderId="2" applyProtection="1" pivotButton="0" quotePrefix="0" xfId="0">
      <protection locked="0" hidden="0"/>
    </xf>
    <xf numFmtId="0" fontId="0" fillId="4" borderId="0" pivotButton="0" quotePrefix="0" xfId="0"/>
    <xf numFmtId="166" fontId="17" fillId="2" borderId="2" pivotButton="0" quotePrefix="0" xfId="0"/>
    <xf numFmtId="0" fontId="10" fillId="3" borderId="6" applyProtection="1" pivotButton="0" quotePrefix="0" xfId="0">
      <protection locked="0" hidden="0"/>
    </xf>
    <xf numFmtId="0" fontId="11" fillId="2" borderId="6" applyAlignment="1" pivotButton="0" quotePrefix="0" xfId="0">
      <alignment horizontal="left"/>
    </xf>
    <xf numFmtId="0" fontId="11" fillId="3" borderId="6" applyAlignment="1" pivotButton="0" quotePrefix="0" xfId="0">
      <alignment horizontal="left"/>
    </xf>
    <xf numFmtId="164" fontId="7" fillId="2" borderId="6" applyProtection="1" pivotButton="0" quotePrefix="0" xfId="1">
      <protection locked="0" hidden="0"/>
    </xf>
    <xf numFmtId="165" fontId="7" fillId="2" borderId="6" applyProtection="1" pivotButton="0" quotePrefix="0" xfId="1">
      <protection locked="0" hidden="0"/>
    </xf>
    <xf numFmtId="165" fontId="13" fillId="2" borderId="6" applyProtection="1" pivotButton="0" quotePrefix="0" xfId="1">
      <protection locked="0" hidden="0"/>
    </xf>
    <xf numFmtId="166" fontId="17" fillId="2" borderId="6" pivotButton="0" quotePrefix="0" xfId="0"/>
    <xf numFmtId="166" fontId="2" fillId="2" borderId="6" applyAlignment="1" pivotButton="0" quotePrefix="0" xfId="1">
      <alignment horizontal="center"/>
    </xf>
    <xf numFmtId="49" fontId="12" fillId="3" borderId="6" applyAlignment="1" pivotButton="0" quotePrefix="0" xfId="1">
      <alignment horizontal="left"/>
    </xf>
    <xf numFmtId="167" fontId="10" fillId="3" borderId="6" applyAlignment="1" pivotButton="0" quotePrefix="0" xfId="1">
      <alignment horizontal="right"/>
    </xf>
    <xf numFmtId="0" fontId="0" fillId="0" borderId="6" pivotButton="0" quotePrefix="0" xfId="0"/>
    <xf numFmtId="0" fontId="0" fillId="0" borderId="7" pivotButton="0" quotePrefix="0" xfId="0"/>
    <xf numFmtId="0" fontId="10" fillId="3" borderId="5" applyProtection="1" pivotButton="0" quotePrefix="0" xfId="0">
      <protection locked="0" hidden="0"/>
    </xf>
    <xf numFmtId="0" fontId="11" fillId="3" borderId="5" applyAlignment="1" pivotButton="0" quotePrefix="0" xfId="0">
      <alignment horizontal="left"/>
    </xf>
    <xf numFmtId="164" fontId="7" fillId="2" borderId="5" applyProtection="1" pivotButton="0" quotePrefix="0" xfId="1">
      <protection locked="0" hidden="0"/>
    </xf>
    <xf numFmtId="165" fontId="7" fillId="2" borderId="5" applyProtection="1" pivotButton="0" quotePrefix="0" xfId="1">
      <protection locked="0" hidden="0"/>
    </xf>
    <xf numFmtId="165" fontId="13" fillId="2" borderId="5" applyProtection="1" pivotButton="0" quotePrefix="0" xfId="1">
      <protection locked="0" hidden="0"/>
    </xf>
    <xf numFmtId="166" fontId="17" fillId="2" borderId="5" pivotButton="0" quotePrefix="0" xfId="0"/>
    <xf numFmtId="166" fontId="2" fillId="2" borderId="5" applyAlignment="1" pivotButton="0" quotePrefix="0" xfId="1">
      <alignment horizontal="center"/>
    </xf>
    <xf numFmtId="49" fontId="12" fillId="3" borderId="5" applyAlignment="1" pivotButton="0" quotePrefix="0" xfId="1">
      <alignment horizontal="left"/>
    </xf>
    <xf numFmtId="167" fontId="10" fillId="3" borderId="5" applyAlignment="1" pivotButton="0" quotePrefix="0" xfId="1">
      <alignment horizontal="right"/>
    </xf>
    <xf numFmtId="0" fontId="0" fillId="0" borderId="5" pivotButton="0" quotePrefix="0" xfId="0"/>
    <xf numFmtId="0" fontId="0" fillId="0" borderId="8" pivotButton="0" quotePrefix="0" xfId="0"/>
    <xf numFmtId="49" fontId="18" fillId="2" borderId="2" applyAlignment="1" applyProtection="1" pivotButton="0" quotePrefix="0" xfId="0">
      <alignment horizontal="left"/>
      <protection locked="0" hidden="0"/>
    </xf>
    <xf numFmtId="0" fontId="11" fillId="0" borderId="2" applyAlignment="1" pivotButton="0" quotePrefix="0" xfId="0">
      <alignment horizontal="left"/>
    </xf>
    <xf numFmtId="0" fontId="11" fillId="0" borderId="5" applyAlignment="1" pivotButton="0" quotePrefix="0" xfId="0">
      <alignment horizontal="left"/>
    </xf>
    <xf numFmtId="166" fontId="0" fillId="0" borderId="0" pivotButton="0" quotePrefix="0" xfId="0"/>
    <xf numFmtId="166" fontId="3" fillId="4" borderId="2" pivotButton="0" quotePrefix="0" xfId="2"/>
    <xf numFmtId="164" fontId="7" fillId="2" borderId="2" applyProtection="1" pivotButton="0" quotePrefix="0" xfId="1">
      <protection locked="0" hidden="0"/>
    </xf>
    <xf numFmtId="164" fontId="7" fillId="2" borderId="2" applyAlignment="1" applyProtection="1" pivotButton="0" quotePrefix="0" xfId="1">
      <alignment wrapText="1"/>
      <protection locked="0" hidden="0"/>
    </xf>
    <xf numFmtId="166" fontId="8" fillId="2" borderId="2" applyAlignment="1" pivotButton="0" quotePrefix="0" xfId="0">
      <alignment horizontal="center" wrapText="1"/>
    </xf>
    <xf numFmtId="43" fontId="9" fillId="2" borderId="2" applyAlignment="1" pivotButton="0" quotePrefix="0" xfId="1">
      <alignment horizontal="center" wrapText="1"/>
    </xf>
    <xf numFmtId="43" fontId="9" fillId="2" borderId="3" applyAlignment="1" pivotButton="0" quotePrefix="0" xfId="1">
      <alignment horizontal="center" wrapText="1"/>
    </xf>
    <xf numFmtId="165" fontId="7" fillId="2" borderId="2" applyProtection="1" pivotButton="0" quotePrefix="0" xfId="1">
      <protection locked="0" hidden="0"/>
    </xf>
    <xf numFmtId="165" fontId="13" fillId="2" borderId="2" applyProtection="1" pivotButton="0" quotePrefix="0" xfId="1">
      <protection locked="0" hidden="0"/>
    </xf>
    <xf numFmtId="166" fontId="17" fillId="2" borderId="2" pivotButton="0" quotePrefix="0" xfId="0"/>
    <xf numFmtId="166" fontId="2" fillId="2" borderId="2" applyAlignment="1" pivotButton="0" quotePrefix="0" xfId="1">
      <alignment horizontal="center"/>
    </xf>
    <xf numFmtId="167" fontId="10" fillId="3" borderId="2" applyAlignment="1" pivotButton="0" quotePrefix="0" xfId="1">
      <alignment horizontal="right"/>
    </xf>
    <xf numFmtId="167" fontId="10" fillId="2" borderId="2" applyAlignment="1" pivotButton="0" quotePrefix="0" xfId="1">
      <alignment horizontal="right"/>
    </xf>
    <xf numFmtId="164" fontId="7" fillId="2" borderId="6" applyProtection="1" pivotButton="0" quotePrefix="0" xfId="1">
      <protection locked="0" hidden="0"/>
    </xf>
    <xf numFmtId="165" fontId="7" fillId="2" borderId="6" applyProtection="1" pivotButton="0" quotePrefix="0" xfId="1">
      <protection locked="0" hidden="0"/>
    </xf>
    <xf numFmtId="165" fontId="13" fillId="2" borderId="6" applyProtection="1" pivotButton="0" quotePrefix="0" xfId="1">
      <protection locked="0" hidden="0"/>
    </xf>
    <xf numFmtId="166" fontId="17" fillId="2" borderId="6" pivotButton="0" quotePrefix="0" xfId="0"/>
    <xf numFmtId="166" fontId="2" fillId="2" borderId="6" applyAlignment="1" pivotButton="0" quotePrefix="0" xfId="1">
      <alignment horizontal="center"/>
    </xf>
    <xf numFmtId="167" fontId="10" fillId="3" borderId="6" applyAlignment="1" pivotButton="0" quotePrefix="0" xfId="1">
      <alignment horizontal="right"/>
    </xf>
    <xf numFmtId="164" fontId="7" fillId="2" borderId="5" applyProtection="1" pivotButton="0" quotePrefix="0" xfId="1">
      <protection locked="0" hidden="0"/>
    </xf>
    <xf numFmtId="165" fontId="7" fillId="2" borderId="5" applyProtection="1" pivotButton="0" quotePrefix="0" xfId="1">
      <protection locked="0" hidden="0"/>
    </xf>
    <xf numFmtId="165" fontId="13" fillId="2" borderId="5" applyProtection="1" pivotButton="0" quotePrefix="0" xfId="1">
      <protection locked="0" hidden="0"/>
    </xf>
    <xf numFmtId="166" fontId="17" fillId="2" borderId="5" pivotButton="0" quotePrefix="0" xfId="0"/>
    <xf numFmtId="166" fontId="2" fillId="2" borderId="5" applyAlignment="1" pivotButton="0" quotePrefix="0" xfId="1">
      <alignment horizontal="center"/>
    </xf>
    <xf numFmtId="167" fontId="10" fillId="3" borderId="5" applyAlignment="1" pivotButton="0" quotePrefix="0" xfId="1">
      <alignment horizontal="right"/>
    </xf>
    <xf numFmtId="166" fontId="0" fillId="2" borderId="2" pivotButton="0" quotePrefix="0" xfId="0"/>
    <xf numFmtId="164" fontId="14" fillId="2" borderId="4" pivotButton="0" quotePrefix="0" xfId="1"/>
    <xf numFmtId="166" fontId="14" fillId="2" borderId="4" pivotButton="0" quotePrefix="0" xfId="1"/>
    <xf numFmtId="166" fontId="14" fillId="2" borderId="1" pivotButton="0" quotePrefix="0" xfId="1"/>
    <xf numFmtId="166" fontId="14" fillId="2" borderId="2" pivotButton="0" quotePrefix="0" xfId="1"/>
  </cellXfs>
  <cellStyles count="3">
    <cellStyle name="Normal" xfId="0" builtinId="0"/>
    <cellStyle name="Comma" xfId="1" builtinId="3"/>
    <cellStyle name="Normal 2 2" xfId="2"/>
  </cellStyles>
  <dxfs count="16">
    <dxf>
      <font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"/>
  <sheetViews>
    <sheetView tabSelected="1" zoomScaleNormal="100" workbookViewId="0">
      <pane xSplit="5" ySplit="2" topLeftCell="F3" activePane="bottomRight" state="frozenSplit"/>
      <selection pane="topRight" activeCell="F1" sqref="F1"/>
      <selection pane="bottomLeft" activeCell="A9" sqref="A9"/>
      <selection pane="bottomRight" activeCell="G7" sqref="G7"/>
    </sheetView>
  </sheetViews>
  <sheetFormatPr baseColWidth="8" defaultRowHeight="14.4"/>
  <cols>
    <col width="5.88671875" bestFit="1" customWidth="1" min="1" max="1"/>
    <col width="38.5546875" bestFit="1" customWidth="1" min="2" max="2"/>
    <col width="13.44140625" customWidth="1" min="3" max="3"/>
    <col width="10.33203125" customWidth="1" min="4" max="4"/>
    <col width="9" bestFit="1" customWidth="1" min="5" max="5"/>
    <col width="16.109375" bestFit="1" customWidth="1" min="6" max="6"/>
    <col width="16.44140625" bestFit="1" customWidth="1" min="7" max="8"/>
    <col width="16.109375" bestFit="1" customWidth="1" min="9" max="9"/>
    <col width="12.5546875" bestFit="1" customWidth="1" style="66" min="10" max="10"/>
    <col width="17.33203125" bestFit="1" customWidth="1" min="11" max="11"/>
    <col width="15.6640625" bestFit="1" customWidth="1" min="12" max="12"/>
    <col width="13.33203125" bestFit="1" customWidth="1" min="13" max="13"/>
    <col width="13" bestFit="1" customWidth="1" min="14" max="14"/>
    <col width="16.33203125" bestFit="1" customWidth="1" min="15" max="15"/>
    <col width="13.6640625" bestFit="1" customWidth="1" min="16" max="16"/>
    <col width="33.33203125" customWidth="1" min="17" max="21"/>
  </cols>
  <sheetData>
    <row r="1" ht="23.4" customHeight="1">
      <c r="A1" s="22" t="n"/>
      <c r="B1" s="23" t="inlineStr">
        <is>
          <t>Babulal</t>
        </is>
      </c>
      <c r="C1" s="23" t="inlineStr">
        <is>
          <t>Extra Staff Diwali-26</t>
        </is>
      </c>
      <c r="D1" s="23" t="n"/>
      <c r="E1" s="24" t="n"/>
      <c r="F1" s="22" t="n"/>
      <c r="G1" s="22" t="n"/>
      <c r="H1" s="22" t="n"/>
      <c r="I1" s="22" t="n"/>
      <c r="J1" s="67" t="n"/>
      <c r="K1" s="22" t="n"/>
      <c r="L1" s="22" t="n"/>
      <c r="M1" s="25" t="n"/>
      <c r="N1" s="25" t="n"/>
      <c r="O1" s="38" t="n"/>
      <c r="P1" s="38" t="n"/>
    </row>
    <row r="2" ht="21" customHeight="1">
      <c r="A2" s="14" t="inlineStr">
        <is>
          <t>No.</t>
        </is>
      </c>
      <c r="B2" s="15" t="inlineStr">
        <is>
          <t>Staff Name</t>
        </is>
      </c>
      <c r="C2" s="63" t="inlineStr">
        <is>
          <t>Designation</t>
        </is>
      </c>
      <c r="D2" s="63" t="inlineStr">
        <is>
          <t>Loctation</t>
        </is>
      </c>
      <c r="E2" s="68" t="inlineStr">
        <is>
          <t>Staff</t>
        </is>
      </c>
      <c r="F2" s="69" t="inlineStr">
        <is>
          <t>Sept Present</t>
        </is>
      </c>
      <c r="G2" s="69" t="inlineStr">
        <is>
          <t>Octo Present</t>
        </is>
      </c>
      <c r="H2" s="69" t="inlineStr">
        <is>
          <t>Total Present</t>
        </is>
      </c>
      <c r="I2" s="17" t="inlineStr">
        <is>
          <t>Per Day Pay</t>
        </is>
      </c>
      <c r="J2" s="70" t="inlineStr">
        <is>
          <t>Net Pay</t>
        </is>
      </c>
      <c r="K2" s="18" t="inlineStr">
        <is>
          <t>2025 Per Day</t>
        </is>
      </c>
      <c r="L2" s="71" t="inlineStr">
        <is>
          <t>Sweet Kg.</t>
        </is>
      </c>
      <c r="M2" s="71" t="inlineStr">
        <is>
          <t>Aadhar</t>
        </is>
      </c>
      <c r="N2" s="72" t="inlineStr">
        <is>
          <t>Mobile</t>
        </is>
      </c>
      <c r="O2" s="71" t="inlineStr">
        <is>
          <t>From Date</t>
        </is>
      </c>
      <c r="P2" s="71" t="inlineStr">
        <is>
          <t>To Date</t>
        </is>
      </c>
      <c r="Q2" t="inlineStr">
        <is>
          <t>App ID</t>
        </is>
      </c>
      <c r="R2" t="inlineStr">
        <is>
          <t>Employment Status</t>
        </is>
      </c>
      <c r="S2" t="inlineStr">
        <is>
          <t>Departure Date</t>
        </is>
      </c>
      <c r="T2" t="inlineStr">
        <is>
          <t>Departure Reason</t>
        </is>
      </c>
      <c r="U2" t="inlineStr">
        <is>
          <t>Status Verified</t>
        </is>
      </c>
    </row>
    <row r="3" ht="15.6" customHeight="1">
      <c r="A3" s="11">
        <f>ROW()-ROW($A$2)</f>
        <v/>
      </c>
      <c r="B3" s="12" t="inlineStr">
        <is>
          <t>Krishnaram Amedram Jat</t>
        </is>
      </c>
      <c r="C3" s="12" t="inlineStr">
        <is>
          <t>Karigar</t>
        </is>
      </c>
      <c r="D3" s="12" t="inlineStr">
        <is>
          <t>Parsi Hall</t>
        </is>
      </c>
      <c r="E3" s="68" t="n">
        <v>1</v>
      </c>
      <c r="F3" s="73" t="n">
        <v>5</v>
      </c>
      <c r="G3" s="73" t="n">
        <v>25</v>
      </c>
      <c r="H3" s="74">
        <f>SUM(F3:G3)</f>
        <v/>
      </c>
      <c r="I3" s="75" t="n">
        <v>100</v>
      </c>
      <c r="J3" s="76">
        <f>SUM(H3*I3)</f>
        <v/>
      </c>
      <c r="K3" s="21" t="n"/>
      <c r="L3" s="77" t="n"/>
      <c r="M3" s="13" t="n"/>
      <c r="N3" s="27" t="n"/>
      <c r="O3" s="13" t="n"/>
      <c r="P3" s="13" t="n"/>
      <c r="Q3" t="inlineStr">
        <is>
          <t>EMP-DA4ABB9F</t>
        </is>
      </c>
      <c r="R3" t="inlineStr">
        <is>
          <t>Active</t>
        </is>
      </c>
    </row>
    <row r="4" ht="15.6" customHeight="1">
      <c r="A4" s="11">
        <f>ROW()-ROW($A$2)</f>
        <v/>
      </c>
      <c r="B4" s="12" t="inlineStr">
        <is>
          <t>Hadman Jasaram Jat</t>
        </is>
      </c>
      <c r="C4" s="12" t="inlineStr">
        <is>
          <t>Karigar</t>
        </is>
      </c>
      <c r="D4" s="12" t="inlineStr">
        <is>
          <t>Parsi Hall</t>
        </is>
      </c>
      <c r="E4" s="68" t="n">
        <v>1</v>
      </c>
      <c r="F4" s="73" t="n"/>
      <c r="G4" s="73" t="n"/>
      <c r="H4" s="74">
        <f>SUM(F4:G4)</f>
        <v/>
      </c>
      <c r="I4" s="75" t="n"/>
      <c r="J4" s="76">
        <f>SUM(H4*I4)</f>
        <v/>
      </c>
      <c r="K4" s="5" t="n"/>
      <c r="L4" s="78" t="n"/>
      <c r="M4" s="13" t="n"/>
      <c r="N4" s="27" t="n"/>
      <c r="O4" s="13" t="n"/>
      <c r="P4" s="13" t="n"/>
      <c r="Q4" t="inlineStr">
        <is>
          <t>EMP-050943A2</t>
        </is>
      </c>
      <c r="R4" t="inlineStr">
        <is>
          <t>Active</t>
        </is>
      </c>
    </row>
    <row r="5" ht="15.6" customHeight="1">
      <c r="A5" s="11">
        <f>ROW()-ROW($A$2)</f>
        <v/>
      </c>
      <c r="B5" s="7" t="inlineStr">
        <is>
          <t>Krishnaram Jiraj Nai</t>
        </is>
      </c>
      <c r="C5" s="12" t="inlineStr">
        <is>
          <t>Helper</t>
        </is>
      </c>
      <c r="D5" s="12" t="inlineStr">
        <is>
          <t>Parsi Hall</t>
        </is>
      </c>
      <c r="E5" s="68" t="n">
        <v>1</v>
      </c>
      <c r="F5" s="73" t="n"/>
      <c r="G5" s="73" t="n"/>
      <c r="H5" s="74">
        <f>SUM(F5:G5)</f>
        <v/>
      </c>
      <c r="I5" s="75" t="n"/>
      <c r="J5" s="76">
        <f>SUM(H5*I5)</f>
        <v/>
      </c>
      <c r="K5" s="8" t="n"/>
      <c r="L5" s="77" t="n"/>
      <c r="M5" s="13" t="n"/>
      <c r="N5" s="27" t="n"/>
      <c r="O5" s="13" t="n"/>
      <c r="P5" s="13" t="n"/>
      <c r="Q5" t="inlineStr">
        <is>
          <t>EMP-179A5862</t>
        </is>
      </c>
      <c r="R5" t="inlineStr">
        <is>
          <t>Active</t>
        </is>
      </c>
    </row>
    <row r="6" ht="15.6" customHeight="1">
      <c r="A6" s="11">
        <f>ROW()-ROW($A$2)</f>
        <v/>
      </c>
      <c r="B6" s="7" t="inlineStr">
        <is>
          <t>Ashok Cheluram Nai</t>
        </is>
      </c>
      <c r="C6" s="12" t="inlineStr">
        <is>
          <t>Helper</t>
        </is>
      </c>
      <c r="D6" s="12" t="inlineStr">
        <is>
          <t>Parsi Hall</t>
        </is>
      </c>
      <c r="E6" s="68" t="n">
        <v>1</v>
      </c>
      <c r="F6" s="73" t="n"/>
      <c r="G6" s="73" t="n"/>
      <c r="H6" s="74">
        <f>SUM(F6:G6)</f>
        <v/>
      </c>
      <c r="I6" s="75" t="n"/>
      <c r="J6" s="76">
        <f>SUM(H6*I6)</f>
        <v/>
      </c>
      <c r="K6" s="8" t="n"/>
      <c r="L6" s="77" t="n"/>
      <c r="M6" s="13" t="n"/>
      <c r="N6" s="27" t="n"/>
      <c r="O6" s="13" t="n"/>
      <c r="P6" s="13" t="n"/>
      <c r="Q6" t="inlineStr">
        <is>
          <t>EMP-75C7B913</t>
        </is>
      </c>
      <c r="R6" t="inlineStr">
        <is>
          <t>Active</t>
        </is>
      </c>
    </row>
    <row r="7" ht="15.6" customHeight="1">
      <c r="A7" s="11">
        <f>ROW()-ROW($A$2)</f>
        <v/>
      </c>
      <c r="B7" s="7" t="inlineStr">
        <is>
          <t>Shivlal Ramkaran Prajapati</t>
        </is>
      </c>
      <c r="C7" s="12" t="inlineStr">
        <is>
          <t>Karigar</t>
        </is>
      </c>
      <c r="D7" s="12" t="inlineStr">
        <is>
          <t>Parsi Hall</t>
        </is>
      </c>
      <c r="E7" s="68" t="n">
        <v>1</v>
      </c>
      <c r="F7" s="73" t="n"/>
      <c r="G7" s="73" t="n"/>
      <c r="H7" s="74">
        <f>SUM(F7:G7)</f>
        <v/>
      </c>
      <c r="I7" s="75" t="n"/>
      <c r="J7" s="76">
        <f>SUM(H7*I7)</f>
        <v/>
      </c>
      <c r="K7" s="8" t="n"/>
      <c r="L7" s="77" t="n"/>
      <c r="M7" s="13" t="n"/>
      <c r="N7" s="27" t="n"/>
      <c r="O7" s="13" t="n"/>
      <c r="P7" s="13" t="n"/>
      <c r="Q7" t="inlineStr">
        <is>
          <t>EMP-F996B4B2</t>
        </is>
      </c>
      <c r="R7" t="inlineStr">
        <is>
          <t>Active</t>
        </is>
      </c>
    </row>
    <row r="8" ht="15.6" customHeight="1">
      <c r="A8" s="11">
        <f>ROW()-ROW($A$2)</f>
        <v/>
      </c>
      <c r="B8" s="7" t="inlineStr">
        <is>
          <t>Shivratan Ramdayal Jat</t>
        </is>
      </c>
      <c r="C8" s="12" t="inlineStr">
        <is>
          <t>Helper</t>
        </is>
      </c>
      <c r="D8" s="12" t="inlineStr">
        <is>
          <t>Parsi Hall</t>
        </is>
      </c>
      <c r="E8" s="68" t="n">
        <v>1</v>
      </c>
      <c r="F8" s="73" t="n"/>
      <c r="G8" s="73" t="n"/>
      <c r="H8" s="74">
        <f>SUM(F8:G8)</f>
        <v/>
      </c>
      <c r="I8" s="75" t="n"/>
      <c r="J8" s="76">
        <f>SUM(H8*I8)</f>
        <v/>
      </c>
      <c r="K8" s="8" t="n"/>
      <c r="L8" s="77" t="n"/>
      <c r="M8" s="13" t="n"/>
      <c r="N8" s="27" t="n"/>
      <c r="O8" s="13" t="n"/>
      <c r="P8" s="13" t="n"/>
      <c r="Q8" t="inlineStr">
        <is>
          <t>EMP-1DF4B2E7</t>
        </is>
      </c>
      <c r="R8" t="inlineStr">
        <is>
          <t>Active</t>
        </is>
      </c>
    </row>
    <row r="9" ht="15.6" customHeight="1">
      <c r="A9" s="11">
        <f>ROW()-ROW($A$2)</f>
        <v/>
      </c>
      <c r="B9" s="7" t="inlineStr">
        <is>
          <t>Dharmaram Mangilal Nai</t>
        </is>
      </c>
      <c r="C9" s="12" t="inlineStr">
        <is>
          <t>Helper</t>
        </is>
      </c>
      <c r="D9" s="12" t="inlineStr">
        <is>
          <t>Parsi Hall</t>
        </is>
      </c>
      <c r="E9" s="68" t="n">
        <v>1</v>
      </c>
      <c r="F9" s="73" t="n"/>
      <c r="G9" s="73" t="n"/>
      <c r="H9" s="74">
        <f>SUM(F9:G9)</f>
        <v/>
      </c>
      <c r="I9" s="75" t="n"/>
      <c r="J9" s="76">
        <f>SUM(H9*I9)</f>
        <v/>
      </c>
      <c r="K9" s="8" t="n"/>
      <c r="L9" s="77" t="n"/>
      <c r="M9" s="13" t="n"/>
      <c r="N9" s="27" t="n"/>
      <c r="O9" s="13" t="n"/>
      <c r="P9" s="13" t="n"/>
      <c r="Q9" t="inlineStr">
        <is>
          <t>EMP-4BA9F4A6</t>
        </is>
      </c>
      <c r="R9" t="inlineStr">
        <is>
          <t>Active</t>
        </is>
      </c>
    </row>
    <row r="10" ht="15.6" customHeight="1">
      <c r="A10" s="11">
        <f>ROW()-ROW($A$2)</f>
        <v/>
      </c>
      <c r="B10" s="7" t="inlineStr">
        <is>
          <t>Bajrang Mariram Lohar</t>
        </is>
      </c>
      <c r="C10" s="12" t="inlineStr">
        <is>
          <t>Helper</t>
        </is>
      </c>
      <c r="D10" s="12" t="inlineStr">
        <is>
          <t>Parsi Hall</t>
        </is>
      </c>
      <c r="E10" s="68" t="n">
        <v>1</v>
      </c>
      <c r="F10" s="73" t="n"/>
      <c r="G10" s="73" t="n"/>
      <c r="H10" s="74">
        <f>SUM(F10:G10)</f>
        <v/>
      </c>
      <c r="I10" s="75" t="n"/>
      <c r="J10" s="76">
        <f>SUM(H10*I10)</f>
        <v/>
      </c>
      <c r="K10" s="8" t="n"/>
      <c r="L10" s="77" t="n"/>
      <c r="M10" s="13" t="n"/>
      <c r="N10" s="27" t="n"/>
      <c r="O10" s="13" t="n"/>
      <c r="P10" s="13" t="n"/>
      <c r="Q10" t="inlineStr">
        <is>
          <t>EMP-85E0A489</t>
        </is>
      </c>
      <c r="R10" t="inlineStr">
        <is>
          <t>Active</t>
        </is>
      </c>
    </row>
    <row r="11" ht="15.6" customHeight="1">
      <c r="A11" s="11">
        <f>ROW()-ROW($A$2)</f>
        <v/>
      </c>
      <c r="B11" s="7" t="inlineStr">
        <is>
          <t>Mularam Ramuram Jat</t>
        </is>
      </c>
      <c r="C11" s="12" t="inlineStr">
        <is>
          <t>Karigar</t>
        </is>
      </c>
      <c r="D11" s="12" t="inlineStr">
        <is>
          <t>Parsi Hall</t>
        </is>
      </c>
      <c r="E11" s="68" t="n">
        <v>1</v>
      </c>
      <c r="F11" s="73" t="n"/>
      <c r="G11" s="73" t="n"/>
      <c r="H11" s="74">
        <f>SUM(F11:G11)</f>
        <v/>
      </c>
      <c r="I11" s="75" t="n"/>
      <c r="J11" s="76">
        <f>SUM(H11*I11)</f>
        <v/>
      </c>
      <c r="K11" s="8" t="n"/>
      <c r="L11" s="77" t="n"/>
      <c r="M11" s="13" t="n"/>
      <c r="N11" s="27" t="n"/>
      <c r="O11" s="13" t="n"/>
      <c r="P11" s="13" t="n"/>
      <c r="Q11" t="inlineStr">
        <is>
          <t>EMP-F563BCD5</t>
        </is>
      </c>
      <c r="R11" t="inlineStr">
        <is>
          <t>Active</t>
        </is>
      </c>
    </row>
    <row r="12" ht="15.6" customHeight="1">
      <c r="A12" s="11">
        <f>ROW()-ROW($A$2)</f>
        <v/>
      </c>
      <c r="B12" s="7" t="inlineStr">
        <is>
          <t>Sitaram Nandram Jat</t>
        </is>
      </c>
      <c r="C12" s="12" t="inlineStr">
        <is>
          <t>Helper</t>
        </is>
      </c>
      <c r="D12" s="12" t="inlineStr">
        <is>
          <t>Parsi Hall</t>
        </is>
      </c>
      <c r="E12" s="68" t="n">
        <v>1</v>
      </c>
      <c r="F12" s="73" t="n"/>
      <c r="G12" s="73" t="n"/>
      <c r="H12" s="74">
        <f>SUM(F12:G12)</f>
        <v/>
      </c>
      <c r="I12" s="75" t="n"/>
      <c r="J12" s="76">
        <f>SUM(H12*I12)</f>
        <v/>
      </c>
      <c r="K12" s="8" t="n"/>
      <c r="L12" s="77" t="n"/>
      <c r="M12" s="13" t="n"/>
      <c r="N12" s="27" t="n"/>
      <c r="O12" s="13" t="n"/>
      <c r="P12" s="13" t="n"/>
      <c r="Q12" t="inlineStr">
        <is>
          <t>EMP-A2B05BF3</t>
        </is>
      </c>
      <c r="R12" t="inlineStr">
        <is>
          <t>Active</t>
        </is>
      </c>
    </row>
    <row r="13" ht="15.6" customHeight="1">
      <c r="A13" s="11">
        <f>ROW()-ROW($A$2)</f>
        <v/>
      </c>
      <c r="B13" s="7" t="inlineStr">
        <is>
          <t>Kaluram Jetharam Nai</t>
        </is>
      </c>
      <c r="C13" s="12" t="inlineStr">
        <is>
          <t>Helper</t>
        </is>
      </c>
      <c r="D13" s="12" t="inlineStr">
        <is>
          <t>Parsi Hall</t>
        </is>
      </c>
      <c r="E13" s="68" t="n">
        <v>1</v>
      </c>
      <c r="F13" s="73" t="n"/>
      <c r="G13" s="73" t="n"/>
      <c r="H13" s="74">
        <f>SUM(F13:G13)</f>
        <v/>
      </c>
      <c r="I13" s="75" t="n"/>
      <c r="J13" s="76">
        <f>SUM(H13*I13)</f>
        <v/>
      </c>
      <c r="K13" s="8" t="n"/>
      <c r="L13" s="77" t="n"/>
      <c r="M13" s="13" t="n"/>
      <c r="N13" s="27" t="n"/>
      <c r="O13" s="13" t="n"/>
      <c r="P13" s="13" t="n"/>
      <c r="Q13" t="inlineStr">
        <is>
          <t>EMP-B7169D68</t>
        </is>
      </c>
      <c r="R13" t="inlineStr">
        <is>
          <t>Active</t>
        </is>
      </c>
    </row>
    <row r="14" ht="15.6" customHeight="1">
      <c r="A14" s="11">
        <f>ROW()-ROW($A$2)</f>
        <v/>
      </c>
      <c r="B14" s="7" t="inlineStr">
        <is>
          <t>Manohar Purkharam Jat</t>
        </is>
      </c>
      <c r="C14" s="12" t="inlineStr">
        <is>
          <t>Karigar</t>
        </is>
      </c>
      <c r="D14" s="12" t="inlineStr">
        <is>
          <t>Parsi Hall</t>
        </is>
      </c>
      <c r="E14" s="68" t="n">
        <v>1</v>
      </c>
      <c r="F14" s="73" t="n"/>
      <c r="G14" s="73" t="n"/>
      <c r="H14" s="74">
        <f>SUM(F14:G14)</f>
        <v/>
      </c>
      <c r="I14" s="75" t="n"/>
      <c r="J14" s="76">
        <f>SUM(H14*I14)</f>
        <v/>
      </c>
      <c r="K14" s="8" t="n"/>
      <c r="L14" s="77" t="n"/>
      <c r="M14" s="13" t="n"/>
      <c r="N14" s="27" t="n"/>
      <c r="O14" s="13" t="n"/>
      <c r="P14" s="13" t="n"/>
      <c r="Q14" t="inlineStr">
        <is>
          <t>EMP-9C5D48F9</t>
        </is>
      </c>
      <c r="R14" t="inlineStr">
        <is>
          <t>Active</t>
        </is>
      </c>
    </row>
    <row r="15" ht="15.6" customHeight="1">
      <c r="A15" s="11">
        <f>ROW()-ROW($A$2)</f>
        <v/>
      </c>
      <c r="B15" s="7" t="inlineStr">
        <is>
          <t>Ashok Ramkhiladi Bagel</t>
        </is>
      </c>
      <c r="C15" s="12" t="inlineStr">
        <is>
          <t>Karigar</t>
        </is>
      </c>
      <c r="D15" s="12" t="inlineStr">
        <is>
          <t>Parsi Hall</t>
        </is>
      </c>
      <c r="E15" s="68" t="n">
        <v>1</v>
      </c>
      <c r="F15" s="73" t="n"/>
      <c r="G15" s="73" t="n"/>
      <c r="H15" s="74">
        <f>SUM(F15:G15)</f>
        <v/>
      </c>
      <c r="I15" s="75" t="n"/>
      <c r="J15" s="76">
        <f>SUM(H15*I15)</f>
        <v/>
      </c>
      <c r="K15" s="8" t="n"/>
      <c r="L15" s="77" t="n"/>
      <c r="M15" s="13" t="n"/>
      <c r="N15" s="27" t="n"/>
      <c r="O15" s="13" t="n"/>
      <c r="P15" s="13" t="n"/>
      <c r="Q15" t="inlineStr">
        <is>
          <t>EMP-1CDCE59F</t>
        </is>
      </c>
      <c r="R15" t="inlineStr">
        <is>
          <t>Active</t>
        </is>
      </c>
    </row>
    <row r="16" ht="15.6" customHeight="1">
      <c r="A16" s="11">
        <f>ROW()-ROW($A$2)</f>
        <v/>
      </c>
      <c r="B16" s="7" t="inlineStr">
        <is>
          <t>Kailash Bhagirath Jat</t>
        </is>
      </c>
      <c r="C16" s="12" t="inlineStr">
        <is>
          <t>Karigar</t>
        </is>
      </c>
      <c r="D16" s="12" t="inlineStr">
        <is>
          <t>Parsi Hall</t>
        </is>
      </c>
      <c r="E16" s="68" t="n">
        <v>1</v>
      </c>
      <c r="F16" s="73" t="n"/>
      <c r="G16" s="73" t="n"/>
      <c r="H16" s="74">
        <f>SUM(F16:G16)</f>
        <v/>
      </c>
      <c r="I16" s="75" t="n"/>
      <c r="J16" s="76">
        <f>SUM(H16*I16)</f>
        <v/>
      </c>
      <c r="K16" s="8" t="n"/>
      <c r="L16" s="77" t="n"/>
      <c r="M16" s="13" t="n"/>
      <c r="N16" s="27" t="n"/>
      <c r="O16" s="13" t="n"/>
      <c r="P16" s="13" t="n"/>
      <c r="Q16" t="inlineStr">
        <is>
          <t>EMP-7BF30A2D</t>
        </is>
      </c>
      <c r="R16" t="inlineStr">
        <is>
          <t>Active</t>
        </is>
      </c>
    </row>
    <row r="17" ht="15.6" customHeight="1">
      <c r="A17" s="11">
        <f>ROW()-ROW($A$2)</f>
        <v/>
      </c>
      <c r="B17" s="7" t="inlineStr">
        <is>
          <t>Mahavir Gopalsinh Bagel</t>
        </is>
      </c>
      <c r="C17" s="12" t="inlineStr">
        <is>
          <t>Karigar</t>
        </is>
      </c>
      <c r="D17" s="12" t="inlineStr">
        <is>
          <t>Parsi Hall</t>
        </is>
      </c>
      <c r="E17" s="68" t="n">
        <v>1</v>
      </c>
      <c r="F17" s="73" t="n"/>
      <c r="G17" s="73" t="n"/>
      <c r="H17" s="74">
        <f>SUM(F17:G17)</f>
        <v/>
      </c>
      <c r="I17" s="75" t="n"/>
      <c r="J17" s="76">
        <f>SUM(H17*I17)</f>
        <v/>
      </c>
      <c r="K17" s="8" t="n"/>
      <c r="L17" s="77" t="n"/>
      <c r="M17" s="13" t="n"/>
      <c r="N17" s="27" t="n"/>
      <c r="O17" s="13" t="n"/>
      <c r="P17" s="13" t="n"/>
      <c r="Q17" t="inlineStr">
        <is>
          <t>EMP-58C3D7F8</t>
        </is>
      </c>
      <c r="R17" t="inlineStr">
        <is>
          <t>Active</t>
        </is>
      </c>
    </row>
    <row r="18" ht="15.6" customHeight="1">
      <c r="A18" s="11">
        <f>ROW()-ROW($A$2)</f>
        <v/>
      </c>
      <c r="B18" s="7" t="inlineStr">
        <is>
          <t>Lavkush Munnalal Bagel</t>
        </is>
      </c>
      <c r="C18" s="12" t="inlineStr">
        <is>
          <t>Karigar</t>
        </is>
      </c>
      <c r="D18" s="12" t="inlineStr">
        <is>
          <t>Parsi Hall</t>
        </is>
      </c>
      <c r="E18" s="68" t="n">
        <v>1</v>
      </c>
      <c r="F18" s="73" t="n"/>
      <c r="G18" s="73" t="n"/>
      <c r="H18" s="74">
        <f>SUM(F18:G18)</f>
        <v/>
      </c>
      <c r="I18" s="75" t="n"/>
      <c r="J18" s="76">
        <f>SUM(H18*I18)</f>
        <v/>
      </c>
      <c r="K18" s="8" t="n"/>
      <c r="L18" s="77" t="n"/>
      <c r="M18" s="13" t="n"/>
      <c r="N18" s="27" t="n"/>
      <c r="O18" s="13" t="n"/>
      <c r="P18" s="13" t="n"/>
      <c r="Q18" t="inlineStr">
        <is>
          <t>EMP-29BD92D2</t>
        </is>
      </c>
      <c r="R18" t="inlineStr">
        <is>
          <t>Active</t>
        </is>
      </c>
    </row>
    <row r="19" ht="15.6" customHeight="1">
      <c r="A19" s="11">
        <f>ROW()-ROW($A$2)</f>
        <v/>
      </c>
      <c r="B19" s="7" t="inlineStr">
        <is>
          <t>Dharmendra Ramnath Bagel</t>
        </is>
      </c>
      <c r="C19" s="12" t="inlineStr">
        <is>
          <t>Karigar</t>
        </is>
      </c>
      <c r="D19" s="12" t="inlineStr">
        <is>
          <t>Parsi Hall</t>
        </is>
      </c>
      <c r="E19" s="68" t="n">
        <v>1</v>
      </c>
      <c r="F19" s="73" t="n"/>
      <c r="G19" s="73" t="n"/>
      <c r="H19" s="74">
        <f>SUM(F19:G19)</f>
        <v/>
      </c>
      <c r="I19" s="75" t="n"/>
      <c r="J19" s="76">
        <f>SUM(H19*I19)</f>
        <v/>
      </c>
      <c r="K19" s="8" t="n"/>
      <c r="L19" s="77" t="n"/>
      <c r="M19" s="13" t="n"/>
      <c r="N19" s="27" t="n"/>
      <c r="O19" s="13" t="n"/>
      <c r="P19" s="13" t="n"/>
      <c r="Q19" t="inlineStr">
        <is>
          <t>EMP-06F03F0D</t>
        </is>
      </c>
      <c r="R19" t="inlineStr">
        <is>
          <t>Active</t>
        </is>
      </c>
    </row>
    <row r="20" ht="15.6" customHeight="1">
      <c r="A20" s="11">
        <f>ROW()-ROW($A$2)</f>
        <v/>
      </c>
      <c r="B20" s="7" t="inlineStr">
        <is>
          <t>Sukhram Vipatiram Bagel</t>
        </is>
      </c>
      <c r="C20" s="12" t="inlineStr">
        <is>
          <t>Karigar</t>
        </is>
      </c>
      <c r="D20" s="12" t="inlineStr">
        <is>
          <t>Parsi Hall</t>
        </is>
      </c>
      <c r="E20" s="68" t="n">
        <v>1</v>
      </c>
      <c r="F20" s="73" t="n"/>
      <c r="G20" s="73" t="n"/>
      <c r="H20" s="74">
        <f>SUM(F20:G20)</f>
        <v/>
      </c>
      <c r="I20" s="75" t="n"/>
      <c r="J20" s="76">
        <f>SUM(H20*I20)</f>
        <v/>
      </c>
      <c r="K20" s="8" t="n"/>
      <c r="L20" s="77" t="n"/>
      <c r="M20" s="13" t="n"/>
      <c r="N20" s="27" t="n"/>
      <c r="O20" s="13" t="n"/>
      <c r="P20" s="13" t="n"/>
      <c r="Q20" t="inlineStr">
        <is>
          <t>EMP-A1F7DAF3</t>
        </is>
      </c>
      <c r="R20" t="inlineStr">
        <is>
          <t>Active</t>
        </is>
      </c>
    </row>
    <row r="21" ht="15.6" customHeight="1">
      <c r="A21" s="11">
        <f>ROW()-ROW($A$2)</f>
        <v/>
      </c>
      <c r="B21" s="7" t="inlineStr">
        <is>
          <t>Bhupendra Chhaviram Bagel</t>
        </is>
      </c>
      <c r="C21" s="12" t="inlineStr">
        <is>
          <t>Karigar</t>
        </is>
      </c>
      <c r="D21" s="12" t="inlineStr">
        <is>
          <t>Parsi Hall</t>
        </is>
      </c>
      <c r="E21" s="68" t="n">
        <v>1</v>
      </c>
      <c r="F21" s="73" t="n"/>
      <c r="G21" s="73" t="n"/>
      <c r="H21" s="74">
        <f>SUM(F21:G21)</f>
        <v/>
      </c>
      <c r="I21" s="75" t="n"/>
      <c r="J21" s="76">
        <f>SUM(H21*I21)</f>
        <v/>
      </c>
      <c r="K21" s="8" t="n"/>
      <c r="L21" s="77" t="n"/>
      <c r="M21" s="13" t="n"/>
      <c r="N21" s="27" t="n"/>
      <c r="O21" s="13" t="n"/>
      <c r="P21" s="13" t="n"/>
      <c r="Q21" t="inlineStr">
        <is>
          <t>EMP-9A939A2E</t>
        </is>
      </c>
      <c r="R21" t="inlineStr">
        <is>
          <t>Active</t>
        </is>
      </c>
    </row>
    <row r="22" ht="15.6" customHeight="1">
      <c r="A22" s="11">
        <f>ROW()-ROW($A$2)</f>
        <v/>
      </c>
      <c r="B22" s="7" t="inlineStr">
        <is>
          <t>Sonu Ramvir Bagel</t>
        </is>
      </c>
      <c r="C22" s="12" t="inlineStr">
        <is>
          <t>Karigar</t>
        </is>
      </c>
      <c r="D22" s="12" t="inlineStr">
        <is>
          <t>Parsi Hall</t>
        </is>
      </c>
      <c r="E22" s="68" t="n">
        <v>1</v>
      </c>
      <c r="F22" s="73" t="n"/>
      <c r="G22" s="73" t="n"/>
      <c r="H22" s="74">
        <f>SUM(F22:G22)</f>
        <v/>
      </c>
      <c r="I22" s="75" t="n"/>
      <c r="J22" s="76">
        <f>SUM(H22*I22)</f>
        <v/>
      </c>
      <c r="K22" s="8" t="n"/>
      <c r="L22" s="77" t="n"/>
      <c r="M22" s="13" t="n"/>
      <c r="N22" s="27" t="n"/>
      <c r="O22" s="13" t="n"/>
      <c r="P22" s="13" t="n"/>
      <c r="Q22" t="inlineStr">
        <is>
          <t>EMP-7FD74936</t>
        </is>
      </c>
      <c r="R22" t="inlineStr">
        <is>
          <t>Active</t>
        </is>
      </c>
    </row>
    <row r="23" ht="15.6" customHeight="1">
      <c r="A23" s="11">
        <f>ROW()-ROW($A$2)</f>
        <v/>
      </c>
      <c r="B23" s="7" t="inlineStr">
        <is>
          <t>Koken Girand Kushwah</t>
        </is>
      </c>
      <c r="C23" s="12" t="inlineStr">
        <is>
          <t>Karigar</t>
        </is>
      </c>
      <c r="D23" s="12" t="inlineStr">
        <is>
          <t>Parsi Hall</t>
        </is>
      </c>
      <c r="E23" s="68" t="n">
        <v>1</v>
      </c>
      <c r="F23" s="73" t="n"/>
      <c r="G23" s="73" t="n"/>
      <c r="H23" s="74">
        <f>SUM(F23:G23)</f>
        <v/>
      </c>
      <c r="I23" s="75" t="n"/>
      <c r="J23" s="76">
        <f>SUM(H23*I23)</f>
        <v/>
      </c>
      <c r="K23" s="8" t="n"/>
      <c r="L23" s="77" t="n"/>
      <c r="M23" s="13" t="n"/>
      <c r="N23" s="27" t="n"/>
      <c r="O23" s="13" t="n"/>
      <c r="P23" s="13" t="n"/>
      <c r="Q23" t="inlineStr">
        <is>
          <t>EMP-CB6AC907</t>
        </is>
      </c>
      <c r="R23" t="inlineStr">
        <is>
          <t>Active</t>
        </is>
      </c>
    </row>
    <row r="24" ht="15.6" customHeight="1">
      <c r="A24" s="11">
        <f>ROW()-ROW($A$2)</f>
        <v/>
      </c>
      <c r="B24" s="7" t="inlineStr">
        <is>
          <t>Ankush Gangaram Bagel</t>
        </is>
      </c>
      <c r="C24" s="12" t="inlineStr">
        <is>
          <t>Karigar</t>
        </is>
      </c>
      <c r="D24" s="12" t="inlineStr">
        <is>
          <t>Parsi Hall</t>
        </is>
      </c>
      <c r="E24" s="68" t="n">
        <v>1</v>
      </c>
      <c r="F24" s="73" t="n"/>
      <c r="G24" s="73" t="n"/>
      <c r="H24" s="74">
        <f>SUM(F24:G24)</f>
        <v/>
      </c>
      <c r="I24" s="75" t="n"/>
      <c r="J24" s="76">
        <f>SUM(H24*I24)</f>
        <v/>
      </c>
      <c r="K24" s="8" t="n"/>
      <c r="L24" s="77" t="n"/>
      <c r="M24" s="13" t="n"/>
      <c r="N24" s="27" t="n"/>
      <c r="O24" s="13" t="n"/>
      <c r="P24" s="13" t="n"/>
      <c r="Q24" t="inlineStr">
        <is>
          <t>EMP-564C9B52</t>
        </is>
      </c>
      <c r="R24" t="inlineStr">
        <is>
          <t>Active</t>
        </is>
      </c>
    </row>
    <row r="25" ht="15.6" customHeight="1">
      <c r="A25" s="11">
        <f>ROW()-ROW($A$2)</f>
        <v/>
      </c>
      <c r="B25" s="7" t="inlineStr">
        <is>
          <t>Devendra Ramnath Sinh</t>
        </is>
      </c>
      <c r="C25" s="12" t="inlineStr">
        <is>
          <t>Karigar</t>
        </is>
      </c>
      <c r="D25" s="12" t="inlineStr">
        <is>
          <t>Parsi Hall</t>
        </is>
      </c>
      <c r="E25" s="68" t="n">
        <v>1</v>
      </c>
      <c r="F25" s="73" t="n"/>
      <c r="G25" s="73" t="n"/>
      <c r="H25" s="74">
        <f>SUM(F25:G25)</f>
        <v/>
      </c>
      <c r="I25" s="75" t="n"/>
      <c r="J25" s="76">
        <f>SUM(H25*I25)</f>
        <v/>
      </c>
      <c r="K25" s="8" t="n"/>
      <c r="L25" s="77" t="n"/>
      <c r="M25" s="13" t="n"/>
      <c r="N25" s="27" t="n"/>
      <c r="O25" s="13" t="n"/>
      <c r="P25" s="13" t="n"/>
      <c r="Q25" t="inlineStr">
        <is>
          <t>EMP-BD342E82</t>
        </is>
      </c>
      <c r="R25" t="inlineStr">
        <is>
          <t>Active</t>
        </is>
      </c>
    </row>
    <row r="26" ht="15.6" customHeight="1">
      <c r="A26" s="11">
        <f>ROW()-ROW($A$2)</f>
        <v/>
      </c>
      <c r="B26" s="7" t="inlineStr">
        <is>
          <t>Hariom Rambharose</t>
        </is>
      </c>
      <c r="C26" s="12" t="inlineStr">
        <is>
          <t>Karigar</t>
        </is>
      </c>
      <c r="D26" s="12" t="inlineStr">
        <is>
          <t>Parsi Hall</t>
        </is>
      </c>
      <c r="E26" s="68" t="n">
        <v>1</v>
      </c>
      <c r="F26" s="73" t="n"/>
      <c r="G26" s="73" t="n"/>
      <c r="H26" s="74">
        <f>SUM(F26:G26)</f>
        <v/>
      </c>
      <c r="I26" s="75" t="n"/>
      <c r="J26" s="76">
        <f>SUM(H26*I26)</f>
        <v/>
      </c>
      <c r="K26" s="8" t="n"/>
      <c r="L26" s="77" t="n"/>
      <c r="M26" s="13" t="n"/>
      <c r="N26" s="27" t="n"/>
      <c r="O26" s="13" t="n"/>
      <c r="P26" s="13" t="n"/>
      <c r="Q26" t="inlineStr">
        <is>
          <t>EMP-0B7B6719</t>
        </is>
      </c>
      <c r="R26" t="inlineStr">
        <is>
          <t>Active</t>
        </is>
      </c>
    </row>
    <row r="27" ht="15.6" customHeight="1">
      <c r="A27" s="11">
        <f>ROW()-ROW($A$2)</f>
        <v/>
      </c>
      <c r="B27" s="7" t="inlineStr">
        <is>
          <t>Kalpan Pappu Devasi</t>
        </is>
      </c>
      <c r="C27" s="12" t="inlineStr">
        <is>
          <t>Karigar</t>
        </is>
      </c>
      <c r="D27" s="12" t="inlineStr">
        <is>
          <t>Parsi Hall</t>
        </is>
      </c>
      <c r="E27" s="68" t="n">
        <v>1</v>
      </c>
      <c r="F27" s="73" t="n"/>
      <c r="G27" s="73" t="n"/>
      <c r="H27" s="74">
        <f>SUM(F27:G27)</f>
        <v/>
      </c>
      <c r="I27" s="75" t="n"/>
      <c r="J27" s="76">
        <f>SUM(H27*I27)</f>
        <v/>
      </c>
      <c r="K27" s="8" t="n"/>
      <c r="L27" s="77" t="n"/>
      <c r="M27" s="13" t="n"/>
      <c r="N27" s="27" t="n"/>
      <c r="O27" s="13" t="n"/>
      <c r="P27" s="13" t="n"/>
      <c r="Q27" t="inlineStr">
        <is>
          <t>EMP-56610589</t>
        </is>
      </c>
      <c r="R27" t="inlineStr">
        <is>
          <t>Active</t>
        </is>
      </c>
    </row>
    <row r="28" ht="15.6" customHeight="1">
      <c r="A28" s="11">
        <f>ROW()-ROW($A$2)</f>
        <v/>
      </c>
      <c r="B28" s="7" t="inlineStr">
        <is>
          <t>Nitin Pappu Bagel</t>
        </is>
      </c>
      <c r="C28" s="12" t="inlineStr">
        <is>
          <t>Helper</t>
        </is>
      </c>
      <c r="D28" s="12" t="inlineStr">
        <is>
          <t>Parsi Hall</t>
        </is>
      </c>
      <c r="E28" s="68" t="n">
        <v>1</v>
      </c>
      <c r="F28" s="73" t="n"/>
      <c r="G28" s="73" t="n"/>
      <c r="H28" s="74">
        <f>SUM(F28:G28)</f>
        <v/>
      </c>
      <c r="I28" s="75" t="n"/>
      <c r="J28" s="76">
        <f>SUM(H28*I28)</f>
        <v/>
      </c>
      <c r="K28" s="8" t="n"/>
      <c r="L28" s="77" t="n"/>
      <c r="M28" s="13" t="n"/>
      <c r="N28" s="27" t="n"/>
      <c r="O28" s="13" t="n"/>
      <c r="P28" s="13" t="n"/>
      <c r="Q28" t="inlineStr">
        <is>
          <t>EMP-94114F07</t>
        </is>
      </c>
      <c r="R28" t="inlineStr">
        <is>
          <t>Active</t>
        </is>
      </c>
    </row>
    <row r="29" ht="15.6" customHeight="1">
      <c r="A29" s="11">
        <f>ROW()-ROW($A$2)</f>
        <v/>
      </c>
      <c r="B29" s="7" t="inlineStr">
        <is>
          <t>Antarsinh Vijendrasinh</t>
        </is>
      </c>
      <c r="C29" s="12" t="inlineStr">
        <is>
          <t>Karigar</t>
        </is>
      </c>
      <c r="D29" s="12" t="inlineStr">
        <is>
          <t>Parsi Hall</t>
        </is>
      </c>
      <c r="E29" s="68" t="n">
        <v>1</v>
      </c>
      <c r="F29" s="73" t="n"/>
      <c r="G29" s="73" t="n"/>
      <c r="H29" s="74">
        <f>SUM(F29:G29)</f>
        <v/>
      </c>
      <c r="I29" s="75" t="n"/>
      <c r="J29" s="76">
        <f>SUM(H29*I29)</f>
        <v/>
      </c>
      <c r="K29" s="8" t="n"/>
      <c r="L29" s="77" t="n"/>
      <c r="M29" s="13" t="n"/>
      <c r="N29" s="27" t="n"/>
      <c r="O29" s="13" t="n"/>
      <c r="P29" s="13" t="n"/>
      <c r="Q29" t="inlineStr">
        <is>
          <t>EMP-4F6F5325</t>
        </is>
      </c>
      <c r="R29" t="inlineStr">
        <is>
          <t>Active</t>
        </is>
      </c>
    </row>
    <row r="30" ht="15.6" customHeight="1">
      <c r="A30" s="11">
        <f>ROW()-ROW($A$2)</f>
        <v/>
      </c>
      <c r="B30" s="7" t="inlineStr">
        <is>
          <t>Sitaram Piraram Jat</t>
        </is>
      </c>
      <c r="C30" s="12" t="inlineStr">
        <is>
          <t>Helper</t>
        </is>
      </c>
      <c r="D30" s="12" t="inlineStr">
        <is>
          <t>Parsi Hall</t>
        </is>
      </c>
      <c r="E30" s="68" t="n">
        <v>1</v>
      </c>
      <c r="F30" s="73" t="n"/>
      <c r="G30" s="73" t="n"/>
      <c r="H30" s="74">
        <f>SUM(F30:G30)</f>
        <v/>
      </c>
      <c r="I30" s="75" t="n"/>
      <c r="J30" s="76">
        <f>SUM(H30*I30)</f>
        <v/>
      </c>
      <c r="K30" s="8" t="n"/>
      <c r="L30" s="77" t="n"/>
      <c r="M30" s="13" t="n"/>
      <c r="N30" s="27" t="n"/>
      <c r="O30" s="13" t="n"/>
      <c r="P30" s="13" t="n"/>
      <c r="Q30" t="inlineStr">
        <is>
          <t>EMP-805DA8BB</t>
        </is>
      </c>
      <c r="R30" t="inlineStr">
        <is>
          <t>Active</t>
        </is>
      </c>
    </row>
    <row r="31" ht="15.6" customHeight="1">
      <c r="A31" s="11">
        <f>ROW()-ROW($A$2)</f>
        <v/>
      </c>
      <c r="B31" s="7" t="inlineStr">
        <is>
          <t>Mishriram Fattaram Jat</t>
        </is>
      </c>
      <c r="C31" s="12" t="inlineStr">
        <is>
          <t>Karigar</t>
        </is>
      </c>
      <c r="D31" s="12" t="inlineStr">
        <is>
          <t>Parsi Hall</t>
        </is>
      </c>
      <c r="E31" s="68" t="n">
        <v>1</v>
      </c>
      <c r="F31" s="73" t="n"/>
      <c r="G31" s="73" t="n"/>
      <c r="H31" s="74">
        <f>SUM(F31:G31)</f>
        <v/>
      </c>
      <c r="I31" s="75" t="n"/>
      <c r="J31" s="76">
        <f>SUM(H31*I31)</f>
        <v/>
      </c>
      <c r="K31" s="8" t="n"/>
      <c r="L31" s="77" t="n"/>
      <c r="M31" s="13" t="n"/>
      <c r="N31" s="27" t="n"/>
      <c r="O31" s="13" t="n"/>
      <c r="P31" s="13" t="n"/>
      <c r="Q31" t="inlineStr">
        <is>
          <t>EMP-3C6B7ACB</t>
        </is>
      </c>
      <c r="R31" t="inlineStr">
        <is>
          <t>Active</t>
        </is>
      </c>
    </row>
    <row r="32" ht="15.6" customHeight="1">
      <c r="A32" s="11">
        <f>ROW()-ROW($A$2)</f>
        <v/>
      </c>
      <c r="B32" s="7" t="inlineStr">
        <is>
          <t>Yogesh Hakimsinh Bagel</t>
        </is>
      </c>
      <c r="C32" s="12" t="inlineStr">
        <is>
          <t>Helper</t>
        </is>
      </c>
      <c r="D32" s="12" t="inlineStr">
        <is>
          <t>Parsi Hall</t>
        </is>
      </c>
      <c r="E32" s="68" t="n">
        <v>1</v>
      </c>
      <c r="F32" s="73" t="n"/>
      <c r="G32" s="73" t="n"/>
      <c r="H32" s="74">
        <f>SUM(F32:G32)</f>
        <v/>
      </c>
      <c r="I32" s="75" t="n"/>
      <c r="J32" s="76">
        <f>SUM(H32*I32)</f>
        <v/>
      </c>
      <c r="K32" s="8" t="n"/>
      <c r="L32" s="77" t="n"/>
      <c r="M32" s="13" t="n"/>
      <c r="N32" s="27" t="n"/>
      <c r="O32" s="13" t="n"/>
      <c r="P32" s="13" t="n"/>
      <c r="Q32" t="inlineStr">
        <is>
          <t>EMP-C37EFF8B</t>
        </is>
      </c>
      <c r="R32" t="inlineStr">
        <is>
          <t>Active</t>
        </is>
      </c>
    </row>
    <row r="33" ht="15.6" customHeight="1">
      <c r="A33" s="11">
        <f>ROW()-ROW($A$2)</f>
        <v/>
      </c>
      <c r="B33" s="7" t="inlineStr">
        <is>
          <t>Shailendra Meghsinh Kushwah</t>
        </is>
      </c>
      <c r="C33" s="12" t="inlineStr">
        <is>
          <t>Helper</t>
        </is>
      </c>
      <c r="D33" s="12" t="inlineStr">
        <is>
          <t>Parsi Hall</t>
        </is>
      </c>
      <c r="E33" s="68" t="n">
        <v>1</v>
      </c>
      <c r="F33" s="73" t="n"/>
      <c r="G33" s="73" t="n"/>
      <c r="H33" s="74">
        <f>SUM(F33:G33)</f>
        <v/>
      </c>
      <c r="I33" s="75" t="n"/>
      <c r="J33" s="76">
        <f>SUM(H33*I33)</f>
        <v/>
      </c>
      <c r="K33" s="8" t="n"/>
      <c r="L33" s="77" t="n"/>
      <c r="M33" s="13" t="n"/>
      <c r="N33" s="27" t="n"/>
      <c r="O33" s="13" t="n"/>
      <c r="P33" s="13" t="n"/>
      <c r="Q33" t="inlineStr">
        <is>
          <t>EMP-FA97E29F</t>
        </is>
      </c>
      <c r="R33" t="inlineStr">
        <is>
          <t>Active</t>
        </is>
      </c>
    </row>
    <row r="34" ht="15.6" customHeight="1">
      <c r="A34" s="11">
        <f>ROW()-ROW($A$2)</f>
        <v/>
      </c>
      <c r="B34" s="7" t="inlineStr">
        <is>
          <t>Omprakash Rameshwar Jat</t>
        </is>
      </c>
      <c r="C34" s="12" t="inlineStr">
        <is>
          <t>Helper</t>
        </is>
      </c>
      <c r="D34" s="12" t="inlineStr">
        <is>
          <t>Parsi Hall</t>
        </is>
      </c>
      <c r="E34" s="68" t="n">
        <v>1</v>
      </c>
      <c r="F34" s="73" t="n"/>
      <c r="G34" s="73" t="n"/>
      <c r="H34" s="74">
        <f>SUM(F34:G34)</f>
        <v/>
      </c>
      <c r="I34" s="75" t="n"/>
      <c r="J34" s="76">
        <f>SUM(H34*I34)</f>
        <v/>
      </c>
      <c r="K34" s="8" t="n"/>
      <c r="L34" s="77" t="n"/>
      <c r="M34" s="13" t="n"/>
      <c r="N34" s="27" t="n"/>
      <c r="O34" s="13" t="n"/>
      <c r="P34" s="13" t="n"/>
      <c r="Q34" t="inlineStr">
        <is>
          <t>EMP-E1C6F857</t>
        </is>
      </c>
      <c r="R34" t="inlineStr">
        <is>
          <t>Active</t>
        </is>
      </c>
    </row>
    <row r="35" ht="15.6" customHeight="1">
      <c r="A35" s="11">
        <f>ROW()-ROW($A$2)</f>
        <v/>
      </c>
      <c r="B35" s="7" t="inlineStr">
        <is>
          <t>Narendra Ramniwas Kushwah</t>
        </is>
      </c>
      <c r="C35" s="12" t="inlineStr">
        <is>
          <t>Helper</t>
        </is>
      </c>
      <c r="D35" s="12" t="inlineStr">
        <is>
          <t>Parsi Hall</t>
        </is>
      </c>
      <c r="E35" s="68" t="n">
        <v>1</v>
      </c>
      <c r="F35" s="73" t="n"/>
      <c r="G35" s="73" t="n"/>
      <c r="H35" s="74">
        <f>SUM(F35:G35)</f>
        <v/>
      </c>
      <c r="I35" s="75" t="n"/>
      <c r="J35" s="76">
        <f>SUM(H35*I35)</f>
        <v/>
      </c>
      <c r="K35" s="8" t="n"/>
      <c r="L35" s="77" t="n"/>
      <c r="M35" s="13" t="n"/>
      <c r="N35" s="27" t="n"/>
      <c r="O35" s="13" t="n"/>
      <c r="P35" s="13" t="n"/>
      <c r="Q35" t="inlineStr">
        <is>
          <t>EMP-DB4EC955</t>
        </is>
      </c>
      <c r="R35" t="inlineStr">
        <is>
          <t>Active</t>
        </is>
      </c>
    </row>
    <row r="36" ht="15.6" customHeight="1">
      <c r="A36" s="11">
        <f>ROW()-ROW($A$2)</f>
        <v/>
      </c>
      <c r="B36" s="7" t="inlineStr">
        <is>
          <t>Rinku Rajendra Kushwah</t>
        </is>
      </c>
      <c r="C36" s="12" t="inlineStr">
        <is>
          <t>Helper</t>
        </is>
      </c>
      <c r="D36" s="12" t="inlineStr">
        <is>
          <t>Parsi Hall</t>
        </is>
      </c>
      <c r="E36" s="68" t="n">
        <v>1</v>
      </c>
      <c r="F36" s="73" t="n"/>
      <c r="G36" s="73" t="n"/>
      <c r="H36" s="74">
        <f>SUM(F36:G36)</f>
        <v/>
      </c>
      <c r="I36" s="75" t="n"/>
      <c r="J36" s="76">
        <f>SUM(H36*I36)</f>
        <v/>
      </c>
      <c r="K36" s="8" t="n"/>
      <c r="L36" s="77" t="n"/>
      <c r="M36" s="13" t="n"/>
      <c r="N36" s="27" t="n"/>
      <c r="O36" s="13" t="n"/>
      <c r="P36" s="13" t="n"/>
      <c r="Q36" t="inlineStr">
        <is>
          <t>EMP-747FF120</t>
        </is>
      </c>
      <c r="R36" t="inlineStr">
        <is>
          <t>Active</t>
        </is>
      </c>
    </row>
    <row r="37" ht="15.6" customHeight="1">
      <c r="A37" s="11">
        <f>ROW()-ROW($A$2)</f>
        <v/>
      </c>
      <c r="B37" s="64" t="inlineStr">
        <is>
          <t>Tulsasinh</t>
        </is>
      </c>
      <c r="C37" s="12" t="inlineStr">
        <is>
          <t>Helper</t>
        </is>
      </c>
      <c r="D37" s="12" t="inlineStr">
        <is>
          <t>Parsi Hall</t>
        </is>
      </c>
      <c r="E37" s="68" t="n">
        <v>1</v>
      </c>
      <c r="F37" s="73" t="n"/>
      <c r="G37" s="73" t="n"/>
      <c r="H37" s="74">
        <f>SUM(F37:G37)</f>
        <v/>
      </c>
      <c r="I37" s="75" t="n"/>
      <c r="J37" s="76">
        <f>SUM(H37*I37)</f>
        <v/>
      </c>
      <c r="K37" s="8" t="n"/>
      <c r="L37" s="77" t="n"/>
      <c r="M37" s="13" t="n"/>
      <c r="N37" s="27" t="n"/>
      <c r="O37" s="13" t="n"/>
      <c r="P37" s="13" t="n"/>
      <c r="Q37" t="inlineStr">
        <is>
          <t>EMP-39F9CB6D</t>
        </is>
      </c>
      <c r="R37" t="inlineStr">
        <is>
          <t>Active</t>
        </is>
      </c>
    </row>
    <row r="38" ht="15.6" customHeight="1">
      <c r="A38" s="11">
        <f>ROW()-ROW($A$2)</f>
        <v/>
      </c>
      <c r="B38" s="7" t="inlineStr">
        <is>
          <t>Nakhatsinh</t>
        </is>
      </c>
      <c r="C38" s="12" t="inlineStr">
        <is>
          <t>Helper</t>
        </is>
      </c>
      <c r="D38" s="12" t="inlineStr">
        <is>
          <t>Parsi Hall</t>
        </is>
      </c>
      <c r="E38" s="68" t="n">
        <v>1</v>
      </c>
      <c r="F38" s="73" t="n"/>
      <c r="G38" s="73" t="n"/>
      <c r="H38" s="74">
        <f>SUM(F38:G38)</f>
        <v/>
      </c>
      <c r="I38" s="75" t="n"/>
      <c r="J38" s="76">
        <f>SUM(H38*I38)</f>
        <v/>
      </c>
      <c r="K38" s="8" t="n"/>
      <c r="L38" s="77" t="n"/>
      <c r="M38" s="13" t="n"/>
      <c r="N38" s="27" t="n"/>
      <c r="O38" s="13" t="n"/>
      <c r="P38" s="13" t="n"/>
      <c r="Q38" t="inlineStr">
        <is>
          <t>EMP-20CB5DBD</t>
        </is>
      </c>
      <c r="R38" t="inlineStr">
        <is>
          <t>Active</t>
        </is>
      </c>
    </row>
    <row r="39" ht="15.6" customHeight="1">
      <c r="A39" s="11">
        <f>ROW()-ROW($A$2)</f>
        <v/>
      </c>
      <c r="B39" s="7" t="inlineStr">
        <is>
          <t>Ruparam Bhanvarlal Nai</t>
        </is>
      </c>
      <c r="C39" s="12" t="inlineStr">
        <is>
          <t>Karigar</t>
        </is>
      </c>
      <c r="D39" s="12" t="inlineStr">
        <is>
          <t>Parsi Hall</t>
        </is>
      </c>
      <c r="E39" s="68" t="n">
        <v>1</v>
      </c>
      <c r="F39" s="73" t="n"/>
      <c r="G39" s="73" t="n"/>
      <c r="H39" s="74">
        <f>SUM(F39:G39)</f>
        <v/>
      </c>
      <c r="I39" s="75" t="n"/>
      <c r="J39" s="76">
        <f>SUM(H39*I39)</f>
        <v/>
      </c>
      <c r="K39" s="8" t="n"/>
      <c r="L39" s="77" t="n"/>
      <c r="M39" s="13" t="n"/>
      <c r="N39" s="27" t="n"/>
      <c r="O39" s="13" t="n"/>
      <c r="P39" s="13" t="n"/>
      <c r="Q39" t="inlineStr">
        <is>
          <t>EMP-B12C05D3</t>
        </is>
      </c>
      <c r="R39" t="inlineStr">
        <is>
          <t>Active</t>
        </is>
      </c>
    </row>
    <row r="40" ht="15.6" customHeight="1">
      <c r="A40" s="11">
        <f>ROW()-ROW($A$2)</f>
        <v/>
      </c>
      <c r="B40" s="7" t="inlineStr">
        <is>
          <t>Mohansinh</t>
        </is>
      </c>
      <c r="C40" s="12" t="inlineStr">
        <is>
          <t>Helper</t>
        </is>
      </c>
      <c r="D40" s="12" t="inlineStr">
        <is>
          <t>Parsi Hall</t>
        </is>
      </c>
      <c r="E40" s="68" t="n">
        <v>1</v>
      </c>
      <c r="F40" s="73" t="n"/>
      <c r="G40" s="73" t="n"/>
      <c r="H40" s="74">
        <f>SUM(F40:G40)</f>
        <v/>
      </c>
      <c r="I40" s="75" t="n"/>
      <c r="J40" s="76">
        <f>SUM(H40*I40)</f>
        <v/>
      </c>
      <c r="K40" s="8" t="n"/>
      <c r="L40" s="77" t="n"/>
      <c r="M40" s="13" t="n"/>
      <c r="N40" s="27" t="n"/>
      <c r="O40" s="13" t="n"/>
      <c r="P40" s="13" t="n"/>
      <c r="Q40" t="inlineStr">
        <is>
          <t>EMP-BF72E2E4</t>
        </is>
      </c>
      <c r="R40" t="inlineStr">
        <is>
          <t>Active</t>
        </is>
      </c>
    </row>
    <row r="41" ht="15.6" customHeight="1">
      <c r="A41" s="11">
        <f>ROW()-ROW($A$2)</f>
        <v/>
      </c>
      <c r="B41" s="7" t="inlineStr">
        <is>
          <t>Sumersinh</t>
        </is>
      </c>
      <c r="C41" s="12" t="inlineStr">
        <is>
          <t>Helper</t>
        </is>
      </c>
      <c r="D41" s="12" t="inlineStr">
        <is>
          <t>Parsi Hall</t>
        </is>
      </c>
      <c r="E41" s="68" t="n">
        <v>1</v>
      </c>
      <c r="F41" s="73" t="n"/>
      <c r="G41" s="73" t="n"/>
      <c r="H41" s="74">
        <f>SUM(F41:G41)</f>
        <v/>
      </c>
      <c r="I41" s="75" t="n"/>
      <c r="J41" s="76">
        <f>SUM(H41*I41)</f>
        <v/>
      </c>
      <c r="K41" s="8" t="n"/>
      <c r="L41" s="77" t="n"/>
      <c r="M41" s="13" t="n"/>
      <c r="N41" s="27" t="n"/>
      <c r="O41" s="13" t="n"/>
      <c r="P41" s="13" t="n"/>
      <c r="Q41" t="inlineStr">
        <is>
          <t>EMP-5094F8A6</t>
        </is>
      </c>
      <c r="R41" t="inlineStr">
        <is>
          <t>Active</t>
        </is>
      </c>
    </row>
    <row r="42" ht="15.6" customHeight="1">
      <c r="A42" s="11">
        <f>ROW()-ROW($A$2)</f>
        <v/>
      </c>
      <c r="B42" s="7" t="inlineStr">
        <is>
          <t>Kaluram Rameshwar Kumar</t>
        </is>
      </c>
      <c r="C42" s="12" t="inlineStr">
        <is>
          <t>Helper</t>
        </is>
      </c>
      <c r="D42" s="12" t="inlineStr">
        <is>
          <t>Parsi Hall</t>
        </is>
      </c>
      <c r="E42" s="68" t="n">
        <v>1</v>
      </c>
      <c r="F42" s="73" t="n"/>
      <c r="G42" s="73" t="n"/>
      <c r="H42" s="74">
        <f>SUM(F42:G42)</f>
        <v/>
      </c>
      <c r="I42" s="75" t="n"/>
      <c r="J42" s="76">
        <f>SUM(H42*I42)</f>
        <v/>
      </c>
      <c r="K42" s="8" t="n"/>
      <c r="L42" s="77" t="n"/>
      <c r="M42" s="13" t="n"/>
      <c r="N42" s="27" t="n"/>
      <c r="O42" s="13" t="n"/>
      <c r="P42" s="13" t="n"/>
      <c r="Q42" t="inlineStr">
        <is>
          <t>EMP-1D4D9239</t>
        </is>
      </c>
      <c r="R42" t="inlineStr">
        <is>
          <t>Active</t>
        </is>
      </c>
    </row>
    <row r="43" ht="15.6" customHeight="1">
      <c r="A43" s="11">
        <f>ROW()-ROW($A$2)</f>
        <v/>
      </c>
      <c r="B43" s="7" t="inlineStr">
        <is>
          <t>Manish Jetharam Padhiyar</t>
        </is>
      </c>
      <c r="C43" s="12" t="inlineStr">
        <is>
          <t>Helper</t>
        </is>
      </c>
      <c r="D43" s="12" t="inlineStr">
        <is>
          <t>Parsi Hall</t>
        </is>
      </c>
      <c r="E43" s="68" t="n">
        <v>1</v>
      </c>
      <c r="F43" s="73" t="n"/>
      <c r="G43" s="73" t="n"/>
      <c r="H43" s="74">
        <f>SUM(F43:G43)</f>
        <v/>
      </c>
      <c r="I43" s="75" t="n"/>
      <c r="J43" s="76">
        <f>SUM(H43*I43)</f>
        <v/>
      </c>
      <c r="K43" s="8" t="n"/>
      <c r="L43" s="77" t="n"/>
      <c r="M43" s="13" t="n"/>
      <c r="N43" s="27" t="n"/>
      <c r="O43" s="13" t="n"/>
      <c r="P43" s="13" t="n"/>
      <c r="Q43" t="inlineStr">
        <is>
          <t>EMP-93096563</t>
        </is>
      </c>
      <c r="R43" t="inlineStr">
        <is>
          <t>Active</t>
        </is>
      </c>
    </row>
    <row r="44" ht="15.6" customHeight="1">
      <c r="A44" s="11">
        <f>ROW()-ROW($A$2)</f>
        <v/>
      </c>
      <c r="B44" s="7" t="inlineStr">
        <is>
          <t>Padmsinh Lakshmansinh Rajput</t>
        </is>
      </c>
      <c r="C44" s="12" t="inlineStr">
        <is>
          <t>Helper</t>
        </is>
      </c>
      <c r="D44" s="12" t="inlineStr">
        <is>
          <t>Parsi Hall</t>
        </is>
      </c>
      <c r="E44" s="68" t="n">
        <v>1</v>
      </c>
      <c r="F44" s="73" t="n"/>
      <c r="G44" s="73" t="n"/>
      <c r="H44" s="74">
        <f>SUM(F44:G44)</f>
        <v/>
      </c>
      <c r="I44" s="75" t="n"/>
      <c r="J44" s="76">
        <f>SUM(H44*I44)</f>
        <v/>
      </c>
      <c r="K44" s="8" t="n"/>
      <c r="L44" s="77" t="n"/>
      <c r="M44" s="13" t="n"/>
      <c r="N44" s="27" t="n"/>
      <c r="O44" s="13" t="n"/>
      <c r="P44" s="13" t="n"/>
      <c r="Q44" t="inlineStr">
        <is>
          <t>EMP-F17E3448</t>
        </is>
      </c>
      <c r="R44" t="inlineStr">
        <is>
          <t>Active</t>
        </is>
      </c>
    </row>
    <row r="45" ht="15.6" customHeight="1">
      <c r="A45" s="11">
        <f>ROW()-ROW($A$2)</f>
        <v/>
      </c>
      <c r="B45" s="7" t="inlineStr">
        <is>
          <t>Ramchandra Jetharam Nai</t>
        </is>
      </c>
      <c r="C45" s="12" t="inlineStr">
        <is>
          <t>Helper</t>
        </is>
      </c>
      <c r="D45" s="12" t="inlineStr">
        <is>
          <t>Parsi Hall</t>
        </is>
      </c>
      <c r="E45" s="68" t="n">
        <v>1</v>
      </c>
      <c r="F45" s="73" t="n"/>
      <c r="G45" s="73" t="n"/>
      <c r="H45" s="74">
        <f>SUM(F45:G45)</f>
        <v/>
      </c>
      <c r="I45" s="75" t="n"/>
      <c r="J45" s="76">
        <f>SUM(H45*I45)</f>
        <v/>
      </c>
      <c r="K45" s="8" t="n"/>
      <c r="L45" s="77" t="n"/>
      <c r="M45" s="13" t="n"/>
      <c r="N45" s="27" t="n"/>
      <c r="O45" s="13" t="n"/>
      <c r="P45" s="13" t="n"/>
      <c r="Q45" t="inlineStr">
        <is>
          <t>EMP-883C9F2F</t>
        </is>
      </c>
      <c r="R45" t="inlineStr">
        <is>
          <t>Active</t>
        </is>
      </c>
    </row>
    <row r="46" ht="15.6" customHeight="1">
      <c r="A46" s="11">
        <f>ROW()-ROW($A$2)</f>
        <v/>
      </c>
      <c r="B46" s="7" t="inlineStr">
        <is>
          <t>Bablu Molaram Banjara</t>
        </is>
      </c>
      <c r="C46" s="12" t="inlineStr">
        <is>
          <t>Helper</t>
        </is>
      </c>
      <c r="D46" s="12" t="inlineStr">
        <is>
          <t>Parsi Hall</t>
        </is>
      </c>
      <c r="E46" s="68" t="n">
        <v>1</v>
      </c>
      <c r="F46" s="73" t="n"/>
      <c r="G46" s="73" t="n"/>
      <c r="H46" s="74">
        <f>SUM(F46:G46)</f>
        <v/>
      </c>
      <c r="I46" s="75" t="n"/>
      <c r="J46" s="76">
        <f>SUM(H46*I46)</f>
        <v/>
      </c>
      <c r="K46" s="8" t="n"/>
      <c r="L46" s="77" t="n"/>
      <c r="M46" s="13" t="n"/>
      <c r="N46" s="27" t="n"/>
      <c r="O46" s="13" t="n"/>
      <c r="P46" s="13" t="n"/>
      <c r="Q46" t="inlineStr">
        <is>
          <t>EMP-225EAFDC</t>
        </is>
      </c>
      <c r="R46" t="inlineStr">
        <is>
          <t>Active</t>
        </is>
      </c>
    </row>
    <row r="47" ht="15.6" customHeight="1">
      <c r="A47" s="11">
        <f>ROW()-ROW($A$2)</f>
        <v/>
      </c>
      <c r="B47" s="7" t="inlineStr">
        <is>
          <t>Omprakash Krishnaram Prajapati</t>
        </is>
      </c>
      <c r="C47" s="12" t="inlineStr">
        <is>
          <t>Helper</t>
        </is>
      </c>
      <c r="D47" s="12" t="inlineStr">
        <is>
          <t>Parsi Hall</t>
        </is>
      </c>
      <c r="E47" s="68" t="n">
        <v>1</v>
      </c>
      <c r="F47" s="73" t="n"/>
      <c r="G47" s="73" t="n"/>
      <c r="H47" s="74">
        <f>SUM(F47:G47)</f>
        <v/>
      </c>
      <c r="I47" s="75" t="n"/>
      <c r="J47" s="76">
        <f>SUM(H47*I47)</f>
        <v/>
      </c>
      <c r="K47" s="8" t="n"/>
      <c r="L47" s="77" t="n"/>
      <c r="M47" s="13" t="n"/>
      <c r="N47" s="27" t="n"/>
      <c r="O47" s="13" t="n"/>
      <c r="P47" s="13" t="n"/>
      <c r="Q47" t="inlineStr">
        <is>
          <t>EMP-EA839326</t>
        </is>
      </c>
      <c r="R47" t="inlineStr">
        <is>
          <t>Active</t>
        </is>
      </c>
    </row>
    <row r="48" ht="15.6" customHeight="1">
      <c r="A48" s="11">
        <f>ROW()-ROW($A$2)</f>
        <v/>
      </c>
      <c r="B48" s="7" t="inlineStr">
        <is>
          <t>Rameshwar Jetharam Prajapati</t>
        </is>
      </c>
      <c r="C48" s="12" t="inlineStr">
        <is>
          <t>Helper</t>
        </is>
      </c>
      <c r="D48" s="12" t="inlineStr">
        <is>
          <t>Parsi Hall</t>
        </is>
      </c>
      <c r="E48" s="68" t="n">
        <v>1</v>
      </c>
      <c r="F48" s="73" t="n"/>
      <c r="G48" s="73" t="n"/>
      <c r="H48" s="74">
        <f>SUM(F48:G48)</f>
        <v/>
      </c>
      <c r="I48" s="75" t="n"/>
      <c r="J48" s="76">
        <f>SUM(H48*I48)</f>
        <v/>
      </c>
      <c r="K48" s="8" t="n"/>
      <c r="L48" s="77" t="n"/>
      <c r="M48" s="13" t="n"/>
      <c r="N48" s="27" t="n"/>
      <c r="O48" s="13" t="n"/>
      <c r="P48" s="13" t="n"/>
      <c r="Q48" t="inlineStr">
        <is>
          <t>EMP-3150E2C1</t>
        </is>
      </c>
      <c r="R48" t="inlineStr">
        <is>
          <t>Active</t>
        </is>
      </c>
    </row>
    <row r="49" ht="15.6" customHeight="1">
      <c r="A49" s="11">
        <f>ROW()-ROW($A$2)</f>
        <v/>
      </c>
      <c r="B49" s="7" t="inlineStr">
        <is>
          <t>Shankar Ishwarram Jat</t>
        </is>
      </c>
      <c r="C49" s="12" t="inlineStr">
        <is>
          <t>Helper</t>
        </is>
      </c>
      <c r="D49" s="12" t="inlineStr">
        <is>
          <t>Parsi Hall</t>
        </is>
      </c>
      <c r="E49" s="68" t="n">
        <v>1</v>
      </c>
      <c r="F49" s="73" t="n"/>
      <c r="G49" s="73" t="n"/>
      <c r="H49" s="74">
        <f>SUM(F49:G49)</f>
        <v/>
      </c>
      <c r="I49" s="75" t="n"/>
      <c r="J49" s="76">
        <f>SUM(H49*I49)</f>
        <v/>
      </c>
      <c r="K49" s="8" t="n"/>
      <c r="L49" s="77" t="n"/>
      <c r="M49" s="13" t="n"/>
      <c r="N49" s="27" t="n"/>
      <c r="O49" s="13" t="n"/>
      <c r="P49" s="13" t="n"/>
      <c r="Q49" t="inlineStr">
        <is>
          <t>EMP-93DD2A33</t>
        </is>
      </c>
      <c r="R49" t="inlineStr">
        <is>
          <t>Active</t>
        </is>
      </c>
    </row>
    <row r="50" ht="15.6" customHeight="1">
      <c r="A50" s="11">
        <f>ROW()-ROW($A$2)</f>
        <v/>
      </c>
      <c r="B50" s="7" t="inlineStr">
        <is>
          <t>Shivlal Gangaram Banjara</t>
        </is>
      </c>
      <c r="C50" s="12" t="inlineStr">
        <is>
          <t>Helper</t>
        </is>
      </c>
      <c r="D50" s="12" t="inlineStr">
        <is>
          <t>Parsi Hall</t>
        </is>
      </c>
      <c r="E50" s="68" t="n">
        <v>1</v>
      </c>
      <c r="F50" s="73" t="n"/>
      <c r="G50" s="73" t="n"/>
      <c r="H50" s="74">
        <f>SUM(F50:G50)</f>
        <v/>
      </c>
      <c r="I50" s="75" t="n"/>
      <c r="J50" s="76">
        <f>SUM(H50*I50)</f>
        <v/>
      </c>
      <c r="K50" s="8" t="n"/>
      <c r="L50" s="77" t="n"/>
      <c r="M50" s="13" t="n"/>
      <c r="N50" s="27" t="n"/>
      <c r="O50" s="13" t="n"/>
      <c r="P50" s="13" t="n"/>
      <c r="Q50" t="inlineStr">
        <is>
          <t>EMP-45360996</t>
        </is>
      </c>
      <c r="R50" t="inlineStr">
        <is>
          <t>Active</t>
        </is>
      </c>
    </row>
    <row r="51" ht="15.6" customHeight="1">
      <c r="A51" s="11">
        <f>ROW()-ROW($A$2)</f>
        <v/>
      </c>
      <c r="B51" s="7" t="inlineStr">
        <is>
          <t>Bhanwarlal Mularam Jat</t>
        </is>
      </c>
      <c r="C51" s="12" t="inlineStr">
        <is>
          <t>Helper</t>
        </is>
      </c>
      <c r="D51" s="12" t="inlineStr">
        <is>
          <t>Parsi Hall</t>
        </is>
      </c>
      <c r="E51" s="68" t="n">
        <v>1</v>
      </c>
      <c r="F51" s="73" t="n"/>
      <c r="G51" s="73" t="n"/>
      <c r="H51" s="74">
        <f>SUM(F51:G51)</f>
        <v/>
      </c>
      <c r="I51" s="75" t="n"/>
      <c r="J51" s="76">
        <f>SUM(H51*I51)</f>
        <v/>
      </c>
      <c r="K51" s="8" t="n"/>
      <c r="L51" s="77" t="n"/>
      <c r="M51" s="13" t="n"/>
      <c r="N51" s="27" t="n"/>
      <c r="O51" s="13" t="n"/>
      <c r="P51" s="13" t="n"/>
      <c r="Q51" t="inlineStr">
        <is>
          <t>EMP-42CEEE47</t>
        </is>
      </c>
      <c r="R51" t="inlineStr">
        <is>
          <t>Active</t>
        </is>
      </c>
    </row>
    <row r="52" ht="15.6" customHeight="1">
      <c r="A52" s="11">
        <f>ROW()-ROW($A$2)</f>
        <v/>
      </c>
      <c r="B52" s="7" t="inlineStr">
        <is>
          <t>Hemraj Tulsaram Banjara</t>
        </is>
      </c>
      <c r="C52" s="12" t="inlineStr">
        <is>
          <t>Helper</t>
        </is>
      </c>
      <c r="D52" s="12" t="inlineStr">
        <is>
          <t>Parsi Hall</t>
        </is>
      </c>
      <c r="E52" s="68" t="n">
        <v>1</v>
      </c>
      <c r="F52" s="73" t="n"/>
      <c r="G52" s="73" t="n"/>
      <c r="H52" s="74">
        <f>SUM(F52:G52)</f>
        <v/>
      </c>
      <c r="I52" s="75" t="n"/>
      <c r="J52" s="76">
        <f>SUM(H52*I52)</f>
        <v/>
      </c>
      <c r="K52" s="8" t="n"/>
      <c r="L52" s="77" t="n"/>
      <c r="M52" s="13" t="n"/>
      <c r="N52" s="27" t="n"/>
      <c r="O52" s="13" t="n"/>
      <c r="P52" s="13" t="n"/>
      <c r="Q52" t="inlineStr">
        <is>
          <t>EMP-D0216647</t>
        </is>
      </c>
      <c r="R52" t="inlineStr">
        <is>
          <t>Active</t>
        </is>
      </c>
    </row>
    <row r="53" ht="15.6" customHeight="1">
      <c r="A53" s="11">
        <f>ROW()-ROW($A$2)</f>
        <v/>
      </c>
      <c r="B53" s="7" t="inlineStr">
        <is>
          <t>Gautam Manaram Sen</t>
        </is>
      </c>
      <c r="C53" s="12" t="inlineStr">
        <is>
          <t>Karigar</t>
        </is>
      </c>
      <c r="D53" s="12" t="inlineStr">
        <is>
          <t>Parsi Hall</t>
        </is>
      </c>
      <c r="E53" s="68" t="n">
        <v>1</v>
      </c>
      <c r="F53" s="73" t="n"/>
      <c r="G53" s="73" t="n"/>
      <c r="H53" s="74">
        <f>SUM(F53:G53)</f>
        <v/>
      </c>
      <c r="I53" s="75" t="n"/>
      <c r="J53" s="76">
        <f>SUM(H53*I53)</f>
        <v/>
      </c>
      <c r="K53" s="8" t="n"/>
      <c r="L53" s="77" t="n"/>
      <c r="M53" s="13" t="n"/>
      <c r="N53" s="27" t="n"/>
      <c r="O53" s="13" t="n"/>
      <c r="P53" s="13" t="n"/>
      <c r="Q53" t="inlineStr">
        <is>
          <t>EMP-635A6E6D</t>
        </is>
      </c>
      <c r="R53" t="inlineStr">
        <is>
          <t>Active</t>
        </is>
      </c>
    </row>
    <row r="54" ht="15.6" customHeight="1">
      <c r="A54" s="11">
        <f>ROW()-ROW($A$2)</f>
        <v/>
      </c>
      <c r="B54" s="7" t="inlineStr">
        <is>
          <t>Suresh Bheraram Sen</t>
        </is>
      </c>
      <c r="C54" s="12" t="inlineStr">
        <is>
          <t>Karigar</t>
        </is>
      </c>
      <c r="D54" s="12" t="inlineStr">
        <is>
          <t>Parsi Hall</t>
        </is>
      </c>
      <c r="E54" s="68" t="n">
        <v>1</v>
      </c>
      <c r="F54" s="73" t="n"/>
      <c r="G54" s="73" t="n"/>
      <c r="H54" s="74">
        <f>SUM(F54:G54)</f>
        <v/>
      </c>
      <c r="I54" s="75" t="n"/>
      <c r="J54" s="76">
        <f>SUM(H54*I54)</f>
        <v/>
      </c>
      <c r="K54" s="8" t="n"/>
      <c r="L54" s="77" t="n"/>
      <c r="M54" s="13" t="n"/>
      <c r="N54" s="27" t="n"/>
      <c r="O54" s="13" t="n"/>
      <c r="P54" s="13" t="n"/>
      <c r="Q54" t="inlineStr">
        <is>
          <t>EMP-F27BF740</t>
        </is>
      </c>
      <c r="R54" t="inlineStr">
        <is>
          <t>Active</t>
        </is>
      </c>
    </row>
    <row r="55" ht="15.6" customHeight="1">
      <c r="A55" s="11">
        <f>ROW()-ROW($A$2)</f>
        <v/>
      </c>
      <c r="B55" s="7" t="inlineStr">
        <is>
          <t>Ruparam Jasaram Jat</t>
        </is>
      </c>
      <c r="C55" s="12" t="inlineStr">
        <is>
          <t>Karigar</t>
        </is>
      </c>
      <c r="D55" s="12" t="inlineStr">
        <is>
          <t>Parsi Hall</t>
        </is>
      </c>
      <c r="E55" s="68" t="n">
        <v>1</v>
      </c>
      <c r="F55" s="73" t="n"/>
      <c r="G55" s="73" t="n"/>
      <c r="H55" s="74">
        <f>SUM(F55:G55)</f>
        <v/>
      </c>
      <c r="I55" s="75" t="n"/>
      <c r="J55" s="76">
        <f>SUM(H55*I55)</f>
        <v/>
      </c>
      <c r="K55" s="8" t="n"/>
      <c r="L55" s="77" t="n"/>
      <c r="M55" s="13" t="n"/>
      <c r="N55" s="27" t="n"/>
      <c r="O55" s="13" t="n"/>
      <c r="P55" s="13" t="n"/>
      <c r="Q55" t="inlineStr">
        <is>
          <t>EMP-66D58B5F</t>
        </is>
      </c>
      <c r="R55" t="inlineStr">
        <is>
          <t>Active</t>
        </is>
      </c>
    </row>
    <row r="56" ht="15.6" customHeight="1">
      <c r="A56" s="11">
        <f>ROW()-ROW($A$2)</f>
        <v/>
      </c>
      <c r="B56" s="7" t="inlineStr">
        <is>
          <t>Manoj Jetharam Prajapati</t>
        </is>
      </c>
      <c r="C56" s="12" t="inlineStr">
        <is>
          <t>Helper</t>
        </is>
      </c>
      <c r="D56" s="12" t="inlineStr">
        <is>
          <t>Parsi Hall</t>
        </is>
      </c>
      <c r="E56" s="68" t="n">
        <v>1</v>
      </c>
      <c r="F56" s="73" t="n"/>
      <c r="G56" s="73" t="n"/>
      <c r="H56" s="74">
        <f>SUM(F56:G56)</f>
        <v/>
      </c>
      <c r="I56" s="75" t="n"/>
      <c r="J56" s="76">
        <f>SUM(H56*I56)</f>
        <v/>
      </c>
      <c r="K56" s="8" t="n"/>
      <c r="L56" s="77" t="n"/>
      <c r="M56" s="13" t="n"/>
      <c r="N56" s="27" t="n"/>
      <c r="O56" s="13" t="n"/>
      <c r="P56" s="13" t="n"/>
      <c r="Q56" t="inlineStr">
        <is>
          <t>EMP-8E3640CE</t>
        </is>
      </c>
      <c r="R56" t="inlineStr">
        <is>
          <t>Active</t>
        </is>
      </c>
    </row>
    <row r="57" ht="15.6" customHeight="1">
      <c r="A57" s="11">
        <f>ROW()-ROW($A$2)</f>
        <v/>
      </c>
      <c r="B57" s="7" t="inlineStr">
        <is>
          <t>Nemaram Surjaram Jat</t>
        </is>
      </c>
      <c r="C57" s="12" t="inlineStr">
        <is>
          <t>Helper</t>
        </is>
      </c>
      <c r="D57" s="12" t="inlineStr">
        <is>
          <t>Parsi Hall</t>
        </is>
      </c>
      <c r="E57" s="68" t="n">
        <v>1</v>
      </c>
      <c r="F57" s="73" t="n"/>
      <c r="G57" s="73" t="n"/>
      <c r="H57" s="74">
        <f>SUM(F57:G57)</f>
        <v/>
      </c>
      <c r="I57" s="75" t="n"/>
      <c r="J57" s="76">
        <f>SUM(H57*I57)</f>
        <v/>
      </c>
      <c r="K57" s="8" t="n"/>
      <c r="L57" s="77" t="n"/>
      <c r="M57" s="13" t="n"/>
      <c r="N57" s="27" t="n"/>
      <c r="O57" s="13" t="n"/>
      <c r="P57" s="13" t="n"/>
      <c r="Q57" t="inlineStr">
        <is>
          <t>EMP-FD825530</t>
        </is>
      </c>
      <c r="R57" t="inlineStr">
        <is>
          <t>Active</t>
        </is>
      </c>
    </row>
    <row r="58" ht="15.6" customHeight="1">
      <c r="A58" s="11">
        <f>ROW()-ROW($A$2)</f>
        <v/>
      </c>
      <c r="B58" s="7" t="inlineStr">
        <is>
          <t>Tilaram Jasaram Jat</t>
        </is>
      </c>
      <c r="C58" s="12" t="inlineStr">
        <is>
          <t>Karigar</t>
        </is>
      </c>
      <c r="D58" s="12" t="inlineStr">
        <is>
          <t>Parsi Hall</t>
        </is>
      </c>
      <c r="E58" s="68" t="n">
        <v>1</v>
      </c>
      <c r="F58" s="73" t="n"/>
      <c r="G58" s="73" t="n"/>
      <c r="H58" s="74">
        <f>SUM(F58:G58)</f>
        <v/>
      </c>
      <c r="I58" s="75" t="n"/>
      <c r="J58" s="76">
        <f>SUM(H58*I58)</f>
        <v/>
      </c>
      <c r="K58" s="8" t="n"/>
      <c r="L58" s="77" t="n"/>
      <c r="M58" s="13" t="n"/>
      <c r="N58" s="27" t="n"/>
      <c r="O58" s="13" t="n"/>
      <c r="P58" s="13" t="n"/>
      <c r="Q58" t="inlineStr">
        <is>
          <t>EMP-65F726D5</t>
        </is>
      </c>
      <c r="R58" t="inlineStr">
        <is>
          <t>Active</t>
        </is>
      </c>
    </row>
    <row r="59" ht="15.6" customHeight="1">
      <c r="A59" s="11">
        <f>ROW()-ROW($A$2)</f>
        <v/>
      </c>
      <c r="B59" s="7" t="inlineStr">
        <is>
          <t>Shravansinh</t>
        </is>
      </c>
      <c r="C59" s="12" t="inlineStr">
        <is>
          <t>Karigar</t>
        </is>
      </c>
      <c r="D59" s="12" t="inlineStr">
        <is>
          <t>Parsi Hall</t>
        </is>
      </c>
      <c r="E59" s="68" t="n">
        <v>1</v>
      </c>
      <c r="F59" s="73" t="n"/>
      <c r="G59" s="73" t="n"/>
      <c r="H59" s="74">
        <f>SUM(F59:G59)</f>
        <v/>
      </c>
      <c r="I59" s="75" t="n"/>
      <c r="J59" s="76">
        <f>SUM(H59*I59)</f>
        <v/>
      </c>
      <c r="K59" s="8" t="n"/>
      <c r="L59" s="77" t="n"/>
      <c r="M59" s="13" t="n"/>
      <c r="N59" s="27" t="n"/>
      <c r="O59" s="13" t="n"/>
      <c r="P59" s="13" t="n"/>
      <c r="Q59" t="inlineStr">
        <is>
          <t>EMP-F8C910A6</t>
        </is>
      </c>
      <c r="R59" t="inlineStr">
        <is>
          <t>Active</t>
        </is>
      </c>
    </row>
    <row r="60" ht="15.6" customHeight="1">
      <c r="A60" s="11">
        <f>ROW()-ROW($A$2)</f>
        <v/>
      </c>
      <c r="B60" s="7" t="inlineStr">
        <is>
          <t>Tejaram Paluram Jat</t>
        </is>
      </c>
      <c r="C60" s="12" t="inlineStr">
        <is>
          <t>Karigar</t>
        </is>
      </c>
      <c r="D60" s="12" t="inlineStr">
        <is>
          <t>Parsi Hall</t>
        </is>
      </c>
      <c r="E60" s="68" t="n">
        <v>1</v>
      </c>
      <c r="F60" s="73" t="n"/>
      <c r="G60" s="73" t="n"/>
      <c r="H60" s="74">
        <f>SUM(F60:G60)</f>
        <v/>
      </c>
      <c r="I60" s="75" t="n"/>
      <c r="J60" s="76">
        <f>SUM(H60*I60)</f>
        <v/>
      </c>
      <c r="K60" s="8" t="n"/>
      <c r="L60" s="77" t="n"/>
      <c r="M60" s="13" t="n"/>
      <c r="N60" s="27" t="n"/>
      <c r="O60" s="13" t="n"/>
      <c r="P60" s="13" t="n"/>
      <c r="Q60" t="inlineStr">
        <is>
          <t>EMP-A4D6D100</t>
        </is>
      </c>
      <c r="R60" t="inlineStr">
        <is>
          <t>Active</t>
        </is>
      </c>
    </row>
    <row r="61" ht="15.6" customHeight="1">
      <c r="A61" s="11">
        <f>ROW()-ROW($A$2)</f>
        <v/>
      </c>
      <c r="B61" s="7" t="inlineStr">
        <is>
          <t>Ruparam Amedram Jat</t>
        </is>
      </c>
      <c r="C61" s="12" t="inlineStr">
        <is>
          <t>Karigar</t>
        </is>
      </c>
      <c r="D61" s="12" t="inlineStr">
        <is>
          <t>Parsi Hall</t>
        </is>
      </c>
      <c r="E61" s="68" t="n">
        <v>1</v>
      </c>
      <c r="F61" s="73" t="n"/>
      <c r="G61" s="73" t="n"/>
      <c r="H61" s="74">
        <f>SUM(F61:G61)</f>
        <v/>
      </c>
      <c r="I61" s="75" t="n"/>
      <c r="J61" s="76">
        <f>SUM(H61*I61)</f>
        <v/>
      </c>
      <c r="K61" s="8" t="n"/>
      <c r="L61" s="77" t="n"/>
      <c r="M61" s="13" t="n"/>
      <c r="N61" s="27" t="n"/>
      <c r="O61" s="13" t="n"/>
      <c r="P61" s="13" t="n"/>
      <c r="Q61" t="inlineStr">
        <is>
          <t>EMP-52CB1CBA</t>
        </is>
      </c>
      <c r="R61" t="inlineStr">
        <is>
          <t>Active</t>
        </is>
      </c>
    </row>
    <row r="62" ht="15.6" customHeight="1">
      <c r="A62" s="11">
        <f>ROW()-ROW($A$2)</f>
        <v/>
      </c>
      <c r="B62" s="7" t="inlineStr">
        <is>
          <t>Bhagwandas Laduram</t>
        </is>
      </c>
      <c r="C62" s="12" t="inlineStr">
        <is>
          <t>Karigar</t>
        </is>
      </c>
      <c r="D62" s="12" t="inlineStr">
        <is>
          <t>Parsi Hall</t>
        </is>
      </c>
      <c r="E62" s="68" t="n">
        <v>1</v>
      </c>
      <c r="F62" s="73" t="n"/>
      <c r="G62" s="73" t="n"/>
      <c r="H62" s="74">
        <f>SUM(F62:G62)</f>
        <v/>
      </c>
      <c r="I62" s="75" t="n"/>
      <c r="J62" s="76">
        <f>SUM(H62*I62)</f>
        <v/>
      </c>
      <c r="K62" s="8" t="n"/>
      <c r="L62" s="77" t="n"/>
      <c r="M62" s="13" t="n"/>
      <c r="N62" s="27" t="n"/>
      <c r="O62" s="13" t="n"/>
      <c r="P62" s="13" t="n"/>
      <c r="Q62" t="inlineStr">
        <is>
          <t>EMP-7680EB22</t>
        </is>
      </c>
      <c r="R62" t="inlineStr">
        <is>
          <t>Active</t>
        </is>
      </c>
    </row>
    <row r="63" ht="15.6" customHeight="1">
      <c r="A63" s="11">
        <f>ROW()-ROW($A$2)</f>
        <v/>
      </c>
      <c r="B63" s="7" t="inlineStr">
        <is>
          <t>Achalgiri Prabhugiri Swami</t>
        </is>
      </c>
      <c r="C63" s="12" t="inlineStr">
        <is>
          <t>Karigar</t>
        </is>
      </c>
      <c r="D63" s="12" t="inlineStr">
        <is>
          <t>Parsi Hall</t>
        </is>
      </c>
      <c r="E63" s="68" t="n">
        <v>1</v>
      </c>
      <c r="F63" s="73" t="n"/>
      <c r="G63" s="73" t="n"/>
      <c r="H63" s="74">
        <f>SUM(F63:G63)</f>
        <v/>
      </c>
      <c r="I63" s="75" t="n"/>
      <c r="J63" s="76">
        <f>SUM(H63*I63)</f>
        <v/>
      </c>
      <c r="K63" s="8" t="n"/>
      <c r="L63" s="77" t="n"/>
      <c r="M63" s="13" t="n"/>
      <c r="N63" s="27" t="n"/>
      <c r="O63" s="13" t="n"/>
      <c r="P63" s="13" t="n"/>
      <c r="Q63" t="inlineStr">
        <is>
          <t>EMP-A7CDA5B9</t>
        </is>
      </c>
      <c r="R63" t="inlineStr">
        <is>
          <t>Active</t>
        </is>
      </c>
    </row>
    <row r="64" ht="15.6" customHeight="1">
      <c r="A64" s="11">
        <f>ROW()-ROW($A$2)</f>
        <v/>
      </c>
      <c r="B64" s="7" t="inlineStr">
        <is>
          <t>Nainpuri Maghpuri</t>
        </is>
      </c>
      <c r="C64" s="12" t="inlineStr">
        <is>
          <t>Karigar</t>
        </is>
      </c>
      <c r="D64" s="12" t="inlineStr">
        <is>
          <t>Parsi Hall</t>
        </is>
      </c>
      <c r="E64" s="68" t="n">
        <v>1</v>
      </c>
      <c r="F64" s="73" t="n"/>
      <c r="G64" s="73" t="n"/>
      <c r="H64" s="74">
        <f>SUM(F64:G64)</f>
        <v/>
      </c>
      <c r="I64" s="75" t="n"/>
      <c r="J64" s="76">
        <f>SUM(H64*I64)</f>
        <v/>
      </c>
      <c r="K64" s="8" t="n"/>
      <c r="L64" s="77" t="n"/>
      <c r="M64" s="13" t="n"/>
      <c r="N64" s="27" t="n"/>
      <c r="O64" s="13" t="n"/>
      <c r="P64" s="13" t="n"/>
      <c r="Q64" t="inlineStr">
        <is>
          <t>EMP-DD95B737</t>
        </is>
      </c>
      <c r="R64" t="inlineStr">
        <is>
          <t>Active</t>
        </is>
      </c>
    </row>
    <row r="65" ht="15.6" customHeight="1">
      <c r="A65" s="11">
        <f>ROW()-ROW($A$2)</f>
        <v/>
      </c>
      <c r="B65" s="7" t="inlineStr">
        <is>
          <t>Tejaram Bhawarlal Gurjer</t>
        </is>
      </c>
      <c r="C65" s="12" t="inlineStr">
        <is>
          <t>Karigar</t>
        </is>
      </c>
      <c r="D65" s="12" t="inlineStr">
        <is>
          <t>Parsi Hall</t>
        </is>
      </c>
      <c r="E65" s="68" t="n">
        <v>1</v>
      </c>
      <c r="F65" s="73" t="n"/>
      <c r="G65" s="73" t="n"/>
      <c r="H65" s="74">
        <f>SUM(F65:G65)</f>
        <v/>
      </c>
      <c r="I65" s="75" t="n"/>
      <c r="J65" s="76">
        <f>SUM(H65*I65)</f>
        <v/>
      </c>
      <c r="K65" s="8" t="n"/>
      <c r="L65" s="77" t="n"/>
      <c r="M65" s="13" t="n"/>
      <c r="N65" s="27" t="n"/>
      <c r="O65" s="13" t="n"/>
      <c r="P65" s="13" t="n"/>
      <c r="Q65" t="inlineStr">
        <is>
          <t>EMP-7CCDC22E</t>
        </is>
      </c>
      <c r="R65" t="inlineStr">
        <is>
          <t>Active</t>
        </is>
      </c>
    </row>
    <row r="66" ht="15.6" customHeight="1">
      <c r="A66" s="11">
        <f>ROW()-ROW($A$2)</f>
        <v/>
      </c>
      <c r="B66" s="7" t="inlineStr">
        <is>
          <t>Hakuram Babulal Chauhan</t>
        </is>
      </c>
      <c r="C66" s="12" t="inlineStr">
        <is>
          <t>Karigar</t>
        </is>
      </c>
      <c r="D66" s="12" t="inlineStr">
        <is>
          <t>Parsi Hall</t>
        </is>
      </c>
      <c r="E66" s="68" t="n">
        <v>1</v>
      </c>
      <c r="F66" s="73" t="n"/>
      <c r="G66" s="73" t="n"/>
      <c r="H66" s="74">
        <f>SUM(F66:G66)</f>
        <v/>
      </c>
      <c r="I66" s="75" t="n"/>
      <c r="J66" s="76">
        <f>SUM(H66*I66)</f>
        <v/>
      </c>
      <c r="K66" s="8" t="n"/>
      <c r="L66" s="77" t="n"/>
      <c r="M66" s="13" t="n"/>
      <c r="N66" s="27" t="n"/>
      <c r="O66" s="13" t="n"/>
      <c r="P66" s="13" t="n"/>
      <c r="Q66" t="inlineStr">
        <is>
          <t>EMP-5457D762</t>
        </is>
      </c>
      <c r="R66" t="inlineStr">
        <is>
          <t>Active</t>
        </is>
      </c>
    </row>
    <row r="67" ht="15.6" customHeight="1">
      <c r="A67" s="11">
        <f>ROW()-ROW($A$2)</f>
        <v/>
      </c>
      <c r="B67" s="7" t="inlineStr">
        <is>
          <t>Sitaram Mularam Sen</t>
        </is>
      </c>
      <c r="C67" s="12" t="inlineStr">
        <is>
          <t>Karigar</t>
        </is>
      </c>
      <c r="D67" s="12" t="inlineStr">
        <is>
          <t>Parsi Hall</t>
        </is>
      </c>
      <c r="E67" s="68" t="n">
        <v>1</v>
      </c>
      <c r="F67" s="73" t="n"/>
      <c r="G67" s="73" t="n"/>
      <c r="H67" s="74">
        <f>SUM(F67:G67)</f>
        <v/>
      </c>
      <c r="I67" s="75" t="n"/>
      <c r="J67" s="76">
        <f>SUM(H67*I67)</f>
        <v/>
      </c>
      <c r="K67" s="8" t="n"/>
      <c r="L67" s="77" t="n"/>
      <c r="M67" s="13" t="n"/>
      <c r="N67" s="27" t="n"/>
      <c r="O67" s="13" t="n"/>
      <c r="P67" s="13" t="n"/>
      <c r="Q67" t="inlineStr">
        <is>
          <t>EMP-9492AEBE</t>
        </is>
      </c>
      <c r="R67" t="inlineStr">
        <is>
          <t>Active</t>
        </is>
      </c>
    </row>
    <row r="68" ht="15.6" customHeight="1">
      <c r="A68" s="11">
        <f>ROW()-ROW($A$2)</f>
        <v/>
      </c>
      <c r="B68" s="7" t="inlineStr">
        <is>
          <t>Gajendrakumar Manojkumar</t>
        </is>
      </c>
      <c r="C68" s="12" t="inlineStr">
        <is>
          <t>Helper</t>
        </is>
      </c>
      <c r="D68" s="12" t="inlineStr">
        <is>
          <t>Parsi Hall</t>
        </is>
      </c>
      <c r="E68" s="68" t="n">
        <v>1</v>
      </c>
      <c r="F68" s="73" t="n"/>
      <c r="G68" s="73" t="n"/>
      <c r="H68" s="74">
        <f>SUM(F68:G68)</f>
        <v/>
      </c>
      <c r="I68" s="75" t="n"/>
      <c r="J68" s="76">
        <f>SUM(H68*I68)</f>
        <v/>
      </c>
      <c r="K68" s="8" t="n"/>
      <c r="L68" s="77" t="n"/>
      <c r="M68" s="13" t="n"/>
      <c r="N68" s="27" t="n"/>
      <c r="O68" s="13" t="n"/>
      <c r="P68" s="13" t="n"/>
      <c r="Q68" t="inlineStr">
        <is>
          <t>EMP-E6B23D4C</t>
        </is>
      </c>
      <c r="R68" t="inlineStr">
        <is>
          <t>Active</t>
        </is>
      </c>
    </row>
    <row r="69" ht="16.2" customHeight="1" thickBot="1">
      <c r="A69" s="40">
        <f>ROW()-ROW($A$2)</f>
        <v/>
      </c>
      <c r="B69" s="41" t="inlineStr">
        <is>
          <t>Dolaram Chunilal</t>
        </is>
      </c>
      <c r="C69" s="12" t="inlineStr">
        <is>
          <t>Helper</t>
        </is>
      </c>
      <c r="D69" s="42" t="inlineStr">
        <is>
          <t>Parsi Hall</t>
        </is>
      </c>
      <c r="E69" s="79" t="n">
        <v>1</v>
      </c>
      <c r="F69" s="80" t="n"/>
      <c r="G69" s="80" t="n"/>
      <c r="H69" s="81">
        <f>SUM(F69:G69)</f>
        <v/>
      </c>
      <c r="I69" s="82" t="n"/>
      <c r="J69" s="83">
        <f>SUM(H69*I69)</f>
        <v/>
      </c>
      <c r="K69" s="48" t="n"/>
      <c r="L69" s="84" t="n"/>
      <c r="M69" s="50" t="n"/>
      <c r="N69" s="51" t="n"/>
      <c r="O69" s="50" t="n"/>
      <c r="P69" s="50" t="n"/>
      <c r="Q69" t="inlineStr">
        <is>
          <t>EMP-6E8A5936</t>
        </is>
      </c>
      <c r="R69" t="inlineStr">
        <is>
          <t>Active</t>
        </is>
      </c>
    </row>
    <row r="70" ht="15.6" customHeight="1">
      <c r="A70" s="52">
        <f>ROW()-ROW($A$2)</f>
        <v/>
      </c>
      <c r="B70" s="65" t="inlineStr">
        <is>
          <t>Mukesh Shankarlal</t>
        </is>
      </c>
      <c r="C70" s="53" t="inlineStr">
        <is>
          <t>Karigar</t>
        </is>
      </c>
      <c r="D70" s="53" t="inlineStr">
        <is>
          <t>S. P. Hall</t>
        </is>
      </c>
      <c r="E70" s="85" t="n">
        <v>1</v>
      </c>
      <c r="F70" s="86" t="n"/>
      <c r="G70" s="86" t="n"/>
      <c r="H70" s="87">
        <f>SUM(F70:G70)</f>
        <v/>
      </c>
      <c r="I70" s="88" t="n"/>
      <c r="J70" s="89">
        <f>SUM(H70*I70)</f>
        <v/>
      </c>
      <c r="K70" s="59" t="n"/>
      <c r="L70" s="90" t="n"/>
      <c r="M70" s="61" t="n"/>
      <c r="N70" s="62" t="n"/>
      <c r="O70" s="61" t="n"/>
      <c r="P70" s="61" t="n"/>
      <c r="Q70" t="inlineStr">
        <is>
          <t>EMP-A4F4D607</t>
        </is>
      </c>
      <c r="R70" t="inlineStr">
        <is>
          <t>Active</t>
        </is>
      </c>
    </row>
    <row r="71" ht="15.6" customHeight="1">
      <c r="A71" s="11">
        <f>ROW()-ROW($A$2)</f>
        <v/>
      </c>
      <c r="B71" s="64" t="inlineStr">
        <is>
          <t xml:space="preserve">Harikishan Govindram </t>
        </is>
      </c>
      <c r="C71" s="12" t="inlineStr">
        <is>
          <t>Karigar</t>
        </is>
      </c>
      <c r="D71" s="12" t="inlineStr">
        <is>
          <t>S. P. Hall</t>
        </is>
      </c>
      <c r="E71" s="68" t="n">
        <v>1</v>
      </c>
      <c r="F71" s="73" t="n"/>
      <c r="G71" s="73" t="n"/>
      <c r="H71" s="74">
        <f>SUM(F71:G71)</f>
        <v/>
      </c>
      <c r="I71" s="75" t="n"/>
      <c r="J71" s="76">
        <f>SUM(H71*I71)</f>
        <v/>
      </c>
      <c r="K71" s="8" t="n"/>
      <c r="L71" s="77" t="n"/>
      <c r="M71" s="13" t="n"/>
      <c r="N71" s="27" t="n"/>
      <c r="O71" s="13" t="n"/>
      <c r="P71" s="13" t="n"/>
      <c r="Q71" t="inlineStr">
        <is>
          <t>EMP-602CB576</t>
        </is>
      </c>
      <c r="R71" t="inlineStr">
        <is>
          <t>Active</t>
        </is>
      </c>
    </row>
    <row r="72" ht="15.6" customHeight="1">
      <c r="A72" s="11">
        <f>ROW()-ROW($A$2)</f>
        <v/>
      </c>
      <c r="B72" s="7" t="inlineStr">
        <is>
          <t>Sukhdev Senansinh</t>
        </is>
      </c>
      <c r="C72" s="12" t="inlineStr">
        <is>
          <t>Helper</t>
        </is>
      </c>
      <c r="D72" s="12" t="inlineStr">
        <is>
          <t>S. P. Hall</t>
        </is>
      </c>
      <c r="E72" s="68" t="n">
        <v>1</v>
      </c>
      <c r="F72" s="73" t="n"/>
      <c r="G72" s="73" t="n"/>
      <c r="H72" s="74">
        <f>SUM(F72:G72)</f>
        <v/>
      </c>
      <c r="I72" s="75" t="n"/>
      <c r="J72" s="76">
        <f>SUM(H72*I72)</f>
        <v/>
      </c>
      <c r="K72" s="8" t="n"/>
      <c r="L72" s="77" t="n"/>
      <c r="M72" s="13" t="n"/>
      <c r="N72" s="27" t="n"/>
      <c r="O72" s="13" t="n"/>
      <c r="P72" s="13" t="n"/>
      <c r="Q72" t="inlineStr">
        <is>
          <t>EMP-287313E0</t>
        </is>
      </c>
      <c r="R72" t="inlineStr">
        <is>
          <t>Active</t>
        </is>
      </c>
    </row>
    <row r="73" ht="15.6" customHeight="1">
      <c r="A73" s="11">
        <f>ROW()-ROW($A$2)</f>
        <v/>
      </c>
      <c r="B73" s="7" t="inlineStr">
        <is>
          <t>Mukesh Maganlal</t>
        </is>
      </c>
      <c r="C73" s="12" t="inlineStr">
        <is>
          <t>Helper</t>
        </is>
      </c>
      <c r="D73" s="12" t="inlineStr">
        <is>
          <t>S. P. Hall</t>
        </is>
      </c>
      <c r="E73" s="68" t="n">
        <v>1</v>
      </c>
      <c r="F73" s="73" t="n"/>
      <c r="G73" s="73" t="n"/>
      <c r="H73" s="74">
        <f>SUM(F73:G73)</f>
        <v/>
      </c>
      <c r="I73" s="75" t="n"/>
      <c r="J73" s="76">
        <f>SUM(H73*I73)</f>
        <v/>
      </c>
      <c r="K73" s="8" t="n"/>
      <c r="L73" s="77" t="n"/>
      <c r="M73" s="13" t="n"/>
      <c r="N73" s="27" t="n"/>
      <c r="O73" s="13" t="n"/>
      <c r="P73" s="13" t="n"/>
      <c r="Q73" t="inlineStr">
        <is>
          <t>EMP-DEBEB71C</t>
        </is>
      </c>
      <c r="R73" t="inlineStr">
        <is>
          <t>Active</t>
        </is>
      </c>
    </row>
    <row r="74" ht="15.6" customHeight="1">
      <c r="A74" s="11">
        <f>ROW()-ROW($A$2)</f>
        <v/>
      </c>
      <c r="B74" s="7" t="inlineStr">
        <is>
          <t>Devkishan Bheraram Upadhyay</t>
        </is>
      </c>
      <c r="C74" s="12" t="inlineStr">
        <is>
          <t>Helper</t>
        </is>
      </c>
      <c r="D74" s="12" t="inlineStr">
        <is>
          <t>S. P. Hall</t>
        </is>
      </c>
      <c r="E74" s="68" t="n">
        <v>1</v>
      </c>
      <c r="F74" s="73" t="n"/>
      <c r="G74" s="73" t="n"/>
      <c r="H74" s="74">
        <f>SUM(F74:G74)</f>
        <v/>
      </c>
      <c r="I74" s="75" t="n"/>
      <c r="J74" s="76">
        <f>SUM(H74*I74)</f>
        <v/>
      </c>
      <c r="K74" s="8" t="n"/>
      <c r="L74" s="77" t="n"/>
      <c r="M74" s="13" t="n"/>
      <c r="N74" s="27" t="n"/>
      <c r="O74" s="13" t="n"/>
      <c r="P74" s="13" t="n"/>
      <c r="Q74" t="inlineStr">
        <is>
          <t>EMP-CDC5AAFD</t>
        </is>
      </c>
      <c r="R74" t="inlineStr">
        <is>
          <t>Active</t>
        </is>
      </c>
    </row>
    <row r="75" ht="15.6" customHeight="1">
      <c r="A75" s="11">
        <f>ROW()-ROW($A$2)</f>
        <v/>
      </c>
      <c r="B75" s="7" t="inlineStr">
        <is>
          <t>Ravi Rajkumar Upadhyay</t>
        </is>
      </c>
      <c r="C75" s="12" t="inlineStr">
        <is>
          <t>Karigar</t>
        </is>
      </c>
      <c r="D75" s="12" t="inlineStr">
        <is>
          <t>S. P. Hall</t>
        </is>
      </c>
      <c r="E75" s="68" t="n">
        <v>1</v>
      </c>
      <c r="F75" s="73" t="n"/>
      <c r="G75" s="73" t="n"/>
      <c r="H75" s="74">
        <f>SUM(F75:G75)</f>
        <v/>
      </c>
      <c r="I75" s="75" t="n"/>
      <c r="J75" s="76">
        <f>SUM(H75*I75)</f>
        <v/>
      </c>
      <c r="K75" s="8" t="n"/>
      <c r="L75" s="77" t="n"/>
      <c r="M75" s="13" t="n"/>
      <c r="N75" s="27" t="n"/>
      <c r="O75" s="13" t="n"/>
      <c r="P75" s="13" t="n"/>
      <c r="Q75" t="inlineStr">
        <is>
          <t>EMP-C64A0DEE</t>
        </is>
      </c>
      <c r="R75" t="inlineStr">
        <is>
          <t>Active</t>
        </is>
      </c>
    </row>
    <row r="76" ht="15.6" customHeight="1">
      <c r="A76" s="11">
        <f>ROW()-ROW($A$2)</f>
        <v/>
      </c>
      <c r="B76" s="7" t="inlineStr">
        <is>
          <t>Mahendrakumar Badriprasad Upadhyay</t>
        </is>
      </c>
      <c r="C76" s="12" t="inlineStr">
        <is>
          <t>Helper</t>
        </is>
      </c>
      <c r="D76" s="12" t="inlineStr">
        <is>
          <t>S. P. Hall</t>
        </is>
      </c>
      <c r="E76" s="68" t="n">
        <v>1</v>
      </c>
      <c r="F76" s="73" t="n"/>
      <c r="G76" s="73" t="n"/>
      <c r="H76" s="74">
        <f>SUM(F76:G76)</f>
        <v/>
      </c>
      <c r="I76" s="75" t="n"/>
      <c r="J76" s="76">
        <f>SUM(H76*I76)</f>
        <v/>
      </c>
      <c r="K76" s="8" t="n"/>
      <c r="L76" s="77" t="n"/>
      <c r="M76" s="13" t="n"/>
      <c r="N76" s="27" t="n"/>
      <c r="O76" s="13" t="n"/>
      <c r="P76" s="13" t="n"/>
      <c r="Q76" t="inlineStr">
        <is>
          <t>EMP-695F9FF0</t>
        </is>
      </c>
      <c r="R76" t="inlineStr">
        <is>
          <t>Active</t>
        </is>
      </c>
    </row>
    <row r="77" ht="15.6" customHeight="1">
      <c r="A77" s="11">
        <f>ROW()-ROW($A$2)</f>
        <v/>
      </c>
      <c r="B77" s="7" t="inlineStr">
        <is>
          <t>Navratna Bajranglal Nai</t>
        </is>
      </c>
      <c r="C77" s="12" t="inlineStr">
        <is>
          <t>Helper</t>
        </is>
      </c>
      <c r="D77" s="12" t="inlineStr">
        <is>
          <t>S. P. Hall</t>
        </is>
      </c>
      <c r="E77" s="68" t="n">
        <v>1</v>
      </c>
      <c r="F77" s="73" t="n"/>
      <c r="G77" s="73" t="n"/>
      <c r="H77" s="74">
        <f>SUM(F77:G77)</f>
        <v/>
      </c>
      <c r="I77" s="75" t="n"/>
      <c r="J77" s="76">
        <f>SUM(H77*I77)</f>
        <v/>
      </c>
      <c r="K77" s="8" t="n"/>
      <c r="L77" s="77" t="n"/>
      <c r="M77" s="13" t="n"/>
      <c r="N77" s="27" t="n"/>
      <c r="O77" s="13" t="n"/>
      <c r="P77" s="13" t="n"/>
      <c r="Q77" t="inlineStr">
        <is>
          <t>EMP-784098FF</t>
        </is>
      </c>
      <c r="R77" t="inlineStr">
        <is>
          <t>Active</t>
        </is>
      </c>
    </row>
    <row r="78" ht="15.6" customHeight="1">
      <c r="A78" s="11">
        <f>ROW()-ROW($A$2)</f>
        <v/>
      </c>
      <c r="B78" s="7" t="inlineStr">
        <is>
          <t>Kishor Omprakash Prajapati</t>
        </is>
      </c>
      <c r="C78" s="12" t="inlineStr">
        <is>
          <t>Helper</t>
        </is>
      </c>
      <c r="D78" s="12" t="inlineStr">
        <is>
          <t>S. P. Hall</t>
        </is>
      </c>
      <c r="E78" s="68" t="n">
        <v>1</v>
      </c>
      <c r="F78" s="73" t="n"/>
      <c r="G78" s="73" t="n"/>
      <c r="H78" s="74">
        <f>SUM(F78:G78)</f>
        <v/>
      </c>
      <c r="I78" s="75" t="n"/>
      <c r="J78" s="76">
        <f>SUM(H78*I78)</f>
        <v/>
      </c>
      <c r="K78" s="8" t="n"/>
      <c r="L78" s="77" t="n"/>
      <c r="M78" s="13" t="n"/>
      <c r="N78" s="27" t="n"/>
      <c r="O78" s="13" t="n"/>
      <c r="P78" s="13" t="n"/>
      <c r="Q78" t="inlineStr">
        <is>
          <t>EMP-9CEDEE72</t>
        </is>
      </c>
      <c r="R78" t="inlineStr">
        <is>
          <t>Active</t>
        </is>
      </c>
    </row>
    <row r="79" ht="15.6" customHeight="1">
      <c r="A79" s="11">
        <f>ROW()-ROW($A$2)</f>
        <v/>
      </c>
      <c r="B79" s="7" t="inlineStr">
        <is>
          <t>Ajit Girdharilal</t>
        </is>
      </c>
      <c r="C79" s="12" t="inlineStr">
        <is>
          <t>Helper</t>
        </is>
      </c>
      <c r="D79" s="12" t="inlineStr">
        <is>
          <t>S. P. Hall</t>
        </is>
      </c>
      <c r="E79" s="68" t="n">
        <v>1</v>
      </c>
      <c r="F79" s="73" t="n"/>
      <c r="G79" s="73" t="n"/>
      <c r="H79" s="74">
        <f>SUM(F79:G79)</f>
        <v/>
      </c>
      <c r="I79" s="75" t="n"/>
      <c r="J79" s="76">
        <f>SUM(H79*I79)</f>
        <v/>
      </c>
      <c r="K79" s="8" t="n"/>
      <c r="L79" s="77" t="n"/>
      <c r="M79" s="13" t="n"/>
      <c r="N79" s="27" t="n"/>
      <c r="O79" s="13" t="n"/>
      <c r="P79" s="13" t="n"/>
      <c r="Q79" t="inlineStr">
        <is>
          <t>EMP-482DC11E</t>
        </is>
      </c>
      <c r="R79" t="inlineStr">
        <is>
          <t>Active</t>
        </is>
      </c>
    </row>
    <row r="80" ht="15.6" customHeight="1">
      <c r="A80" s="11">
        <f>ROW()-ROW($A$2)</f>
        <v/>
      </c>
      <c r="B80" s="7" t="inlineStr">
        <is>
          <t>Kishan Lalchandra Apurv</t>
        </is>
      </c>
      <c r="C80" s="12" t="inlineStr">
        <is>
          <t>Helper</t>
        </is>
      </c>
      <c r="D80" s="12" t="inlineStr">
        <is>
          <t>S. P. Hall</t>
        </is>
      </c>
      <c r="E80" s="68" t="n">
        <v>1</v>
      </c>
      <c r="F80" s="73" t="n"/>
      <c r="G80" s="73" t="n"/>
      <c r="H80" s="74">
        <f>SUM(F80:G80)</f>
        <v/>
      </c>
      <c r="I80" s="75" t="n"/>
      <c r="J80" s="76">
        <f>SUM(H80*I80)</f>
        <v/>
      </c>
      <c r="K80" s="8" t="n"/>
      <c r="L80" s="77" t="n"/>
      <c r="M80" s="13" t="n"/>
      <c r="N80" s="27" t="n"/>
      <c r="O80" s="13" t="n"/>
      <c r="P80" s="13" t="n"/>
      <c r="Q80" t="inlineStr">
        <is>
          <t>EMP-B527A8BC</t>
        </is>
      </c>
      <c r="R80" t="inlineStr">
        <is>
          <t>Active</t>
        </is>
      </c>
    </row>
    <row r="81" ht="15.6" customHeight="1">
      <c r="A81" s="11">
        <f>ROW()-ROW($A$2)</f>
        <v/>
      </c>
      <c r="B81" s="7" t="inlineStr">
        <is>
          <t>Govind Mahavir Joshi</t>
        </is>
      </c>
      <c r="C81" s="12" t="inlineStr">
        <is>
          <t>Helper</t>
        </is>
      </c>
      <c r="D81" s="12" t="inlineStr">
        <is>
          <t>S. P. Hall</t>
        </is>
      </c>
      <c r="E81" s="68" t="n">
        <v>1</v>
      </c>
      <c r="F81" s="73" t="n"/>
      <c r="G81" s="73" t="n"/>
      <c r="H81" s="74">
        <f>SUM(F81:G81)</f>
        <v/>
      </c>
      <c r="I81" s="75" t="n"/>
      <c r="J81" s="76">
        <f>SUM(H81*I81)</f>
        <v/>
      </c>
      <c r="K81" s="8" t="n"/>
      <c r="L81" s="77" t="n"/>
      <c r="M81" s="13" t="n"/>
      <c r="N81" s="27" t="n"/>
      <c r="O81" s="13" t="n"/>
      <c r="P81" s="13" t="n"/>
      <c r="Q81" t="inlineStr">
        <is>
          <t>EMP-29ED34CF</t>
        </is>
      </c>
      <c r="R81" t="inlineStr">
        <is>
          <t>Active</t>
        </is>
      </c>
    </row>
    <row r="82" ht="15.6" customHeight="1">
      <c r="A82" s="11">
        <f>ROW()-ROW($A$2)</f>
        <v/>
      </c>
      <c r="B82" s="7" t="inlineStr">
        <is>
          <t>Suraj Manojkumar Chhipa</t>
        </is>
      </c>
      <c r="C82" s="12" t="inlineStr">
        <is>
          <t>Helper</t>
        </is>
      </c>
      <c r="D82" s="12" t="inlineStr">
        <is>
          <t>S. P. Hall</t>
        </is>
      </c>
      <c r="E82" s="68" t="n">
        <v>1</v>
      </c>
      <c r="F82" s="73" t="n"/>
      <c r="G82" s="73" t="n"/>
      <c r="H82" s="74">
        <f>SUM(F82:G82)</f>
        <v/>
      </c>
      <c r="I82" s="75" t="n"/>
      <c r="J82" s="76">
        <f>SUM(H82*I82)</f>
        <v/>
      </c>
      <c r="K82" s="8" t="n"/>
      <c r="L82" s="77" t="n"/>
      <c r="M82" s="13" t="n"/>
      <c r="N82" s="27" t="n"/>
      <c r="O82" s="13" t="n"/>
      <c r="P82" s="13" t="n"/>
      <c r="Q82" t="inlineStr">
        <is>
          <t>EMP-B03E00E9</t>
        </is>
      </c>
      <c r="R82" t="inlineStr">
        <is>
          <t>Active</t>
        </is>
      </c>
    </row>
    <row r="83" ht="15.6" customHeight="1">
      <c r="A83" s="11">
        <f>ROW()-ROW($A$2)</f>
        <v/>
      </c>
      <c r="B83" s="7" t="inlineStr">
        <is>
          <t>Shree Gopal Harikishan Upadhyay</t>
        </is>
      </c>
      <c r="C83" s="12" t="inlineStr">
        <is>
          <t>Helper</t>
        </is>
      </c>
      <c r="D83" s="12" t="inlineStr">
        <is>
          <t>S. P. Hall</t>
        </is>
      </c>
      <c r="E83" s="68" t="n">
        <v>1</v>
      </c>
      <c r="F83" s="73" t="n"/>
      <c r="G83" s="73" t="n"/>
      <c r="H83" s="74">
        <f>SUM(F83:G83)</f>
        <v/>
      </c>
      <c r="I83" s="75" t="n"/>
      <c r="J83" s="76">
        <f>SUM(H83*I83)</f>
        <v/>
      </c>
      <c r="K83" s="8" t="n"/>
      <c r="L83" s="77" t="n"/>
      <c r="M83" s="13" t="n"/>
      <c r="N83" s="27" t="n"/>
      <c r="O83" s="13" t="n"/>
      <c r="P83" s="13" t="n"/>
      <c r="Q83" t="inlineStr">
        <is>
          <t>EMP-72C8F0EC</t>
        </is>
      </c>
      <c r="R83" t="inlineStr">
        <is>
          <t>Active</t>
        </is>
      </c>
    </row>
    <row r="84" ht="15.6" customHeight="1">
      <c r="A84" s="11">
        <f>ROW()-ROW($A$2)</f>
        <v/>
      </c>
      <c r="B84" s="7" t="inlineStr">
        <is>
          <t>Arun Shankarlal Upadhyay</t>
        </is>
      </c>
      <c r="C84" s="12" t="inlineStr">
        <is>
          <t>Helper</t>
        </is>
      </c>
      <c r="D84" s="12" t="inlineStr">
        <is>
          <t>S. P. Hall</t>
        </is>
      </c>
      <c r="E84" s="68" t="n">
        <v>1</v>
      </c>
      <c r="F84" s="73" t="n"/>
      <c r="G84" s="73" t="n"/>
      <c r="H84" s="74">
        <f>SUM(F84:G84)</f>
        <v/>
      </c>
      <c r="I84" s="75" t="n"/>
      <c r="J84" s="76">
        <f>SUM(H84*I84)</f>
        <v/>
      </c>
      <c r="K84" s="8" t="n"/>
      <c r="L84" s="77" t="n"/>
      <c r="M84" s="13" t="n"/>
      <c r="N84" s="27" t="n"/>
      <c r="O84" s="13" t="n"/>
      <c r="P84" s="13" t="n"/>
      <c r="Q84" t="inlineStr">
        <is>
          <t>EMP-E955B143</t>
        </is>
      </c>
      <c r="R84" t="inlineStr">
        <is>
          <t>Active</t>
        </is>
      </c>
    </row>
    <row r="85" ht="15.6" customHeight="1">
      <c r="A85" s="11">
        <f>ROW()-ROW($A$2)</f>
        <v/>
      </c>
      <c r="B85" s="7" t="inlineStr">
        <is>
          <t>Arun Kishandas</t>
        </is>
      </c>
      <c r="C85" s="12" t="inlineStr">
        <is>
          <t>Helper</t>
        </is>
      </c>
      <c r="D85" s="12" t="inlineStr">
        <is>
          <t>S. P. Hall</t>
        </is>
      </c>
      <c r="E85" s="68" t="n">
        <v>1</v>
      </c>
      <c r="F85" s="73" t="n"/>
      <c r="G85" s="73" t="n"/>
      <c r="H85" s="74">
        <f>SUM(F85:G85)</f>
        <v/>
      </c>
      <c r="I85" s="75" t="n"/>
      <c r="J85" s="76">
        <f>SUM(H85*I85)</f>
        <v/>
      </c>
      <c r="K85" s="8" t="n"/>
      <c r="L85" s="77" t="n"/>
      <c r="M85" s="13" t="n"/>
      <c r="N85" s="27" t="n"/>
      <c r="O85" s="13" t="n"/>
      <c r="P85" s="13" t="n"/>
      <c r="Q85" t="inlineStr">
        <is>
          <t>EMP-5D26B3E7</t>
        </is>
      </c>
      <c r="R85" t="inlineStr">
        <is>
          <t>Active</t>
        </is>
      </c>
    </row>
    <row r="86" ht="15.6" customHeight="1">
      <c r="A86" s="11">
        <f>ROW()-ROW($A$2)</f>
        <v/>
      </c>
      <c r="B86" s="7" t="inlineStr">
        <is>
          <t>Krunal Ghudaram Lohar</t>
        </is>
      </c>
      <c r="C86" s="12" t="inlineStr">
        <is>
          <t>Helper</t>
        </is>
      </c>
      <c r="D86" s="12" t="inlineStr">
        <is>
          <t>S. P. Hall</t>
        </is>
      </c>
      <c r="E86" s="68" t="n">
        <v>1</v>
      </c>
      <c r="F86" s="73" t="n"/>
      <c r="G86" s="73" t="n"/>
      <c r="H86" s="74">
        <f>SUM(F86:G86)</f>
        <v/>
      </c>
      <c r="I86" s="75" t="n"/>
      <c r="J86" s="76">
        <f>SUM(H86*I86)</f>
        <v/>
      </c>
      <c r="K86" s="8" t="n"/>
      <c r="L86" s="77" t="n"/>
      <c r="M86" s="13" t="n"/>
      <c r="N86" s="27" t="n"/>
      <c r="O86" s="13" t="n"/>
      <c r="P86" s="13" t="n"/>
      <c r="Q86" t="inlineStr">
        <is>
          <t>EMP-85DB9041</t>
        </is>
      </c>
      <c r="R86" t="inlineStr">
        <is>
          <t>Active</t>
        </is>
      </c>
    </row>
    <row r="87" ht="16.2" customHeight="1" thickBot="1">
      <c r="A87" s="11">
        <f>ROW()-ROW($A$2)</f>
        <v/>
      </c>
      <c r="B87" s="7" t="inlineStr">
        <is>
          <t>Ranvirsinh Umedsinh</t>
        </is>
      </c>
      <c r="C87" s="12" t="inlineStr">
        <is>
          <t>Helper</t>
        </is>
      </c>
      <c r="D87" s="12" t="inlineStr">
        <is>
          <t>S. P. Hall</t>
        </is>
      </c>
      <c r="E87" s="68" t="n">
        <v>1</v>
      </c>
      <c r="F87" s="73" t="n"/>
      <c r="G87" s="73" t="n"/>
      <c r="H87" s="74">
        <f>SUM(F87:G87)</f>
        <v/>
      </c>
      <c r="I87" s="75" t="n"/>
      <c r="J87" s="76">
        <f>SUM(H87*I87)</f>
        <v/>
      </c>
      <c r="K87" s="8" t="n"/>
      <c r="L87" s="77" t="n"/>
      <c r="M87" s="13" t="n"/>
      <c r="N87" s="27" t="n"/>
      <c r="O87" s="13" t="n"/>
      <c r="P87" s="13" t="n"/>
      <c r="Q87" t="inlineStr">
        <is>
          <t>EMP-608158D2</t>
        </is>
      </c>
      <c r="R87" t="inlineStr">
        <is>
          <t>Active</t>
        </is>
      </c>
    </row>
    <row r="88" ht="15.6" customHeight="1">
      <c r="A88" s="11">
        <f>ROW()-ROW($A$2)</f>
        <v/>
      </c>
      <c r="B88" s="7" t="inlineStr">
        <is>
          <t>Shyamaram Kesharam</t>
        </is>
      </c>
      <c r="C88" s="53" t="inlineStr">
        <is>
          <t>Karigar</t>
        </is>
      </c>
      <c r="D88" s="12" t="inlineStr">
        <is>
          <t>S. P. Hall</t>
        </is>
      </c>
      <c r="E88" s="68" t="n">
        <v>1</v>
      </c>
      <c r="F88" s="73" t="n"/>
      <c r="G88" s="73" t="n"/>
      <c r="H88" s="74">
        <f>SUM(F88:G88)</f>
        <v/>
      </c>
      <c r="I88" s="75" t="n"/>
      <c r="J88" s="76">
        <f>SUM(H88*I88)</f>
        <v/>
      </c>
      <c r="K88" s="8" t="n"/>
      <c r="L88" s="77" t="n"/>
      <c r="M88" s="13" t="n"/>
      <c r="N88" s="27" t="n"/>
      <c r="O88" s="13" t="n"/>
      <c r="P88" s="13" t="n"/>
      <c r="Q88" t="inlineStr">
        <is>
          <t>EMP-E3D7E2A5</t>
        </is>
      </c>
      <c r="R88" t="inlineStr">
        <is>
          <t>Active</t>
        </is>
      </c>
    </row>
    <row r="89" ht="15.6" customHeight="1">
      <c r="A89" s="11">
        <f>ROW()-ROW($A$2)</f>
        <v/>
      </c>
      <c r="B89" s="7" t="inlineStr">
        <is>
          <t>Asharam Kesharam</t>
        </is>
      </c>
      <c r="C89" s="12" t="inlineStr">
        <is>
          <t>Helper</t>
        </is>
      </c>
      <c r="D89" s="12" t="inlineStr">
        <is>
          <t>S. P. Hall</t>
        </is>
      </c>
      <c r="E89" s="68" t="n">
        <v>1</v>
      </c>
      <c r="F89" s="73" t="n"/>
      <c r="G89" s="73" t="n"/>
      <c r="H89" s="74">
        <f>SUM(F89:G89)</f>
        <v/>
      </c>
      <c r="I89" s="75" t="n"/>
      <c r="J89" s="76">
        <f>SUM(H89*I89)</f>
        <v/>
      </c>
      <c r="K89" s="8" t="n"/>
      <c r="L89" s="77" t="n"/>
      <c r="M89" s="13" t="n"/>
      <c r="N89" s="27" t="n"/>
      <c r="O89" s="13" t="n"/>
      <c r="P89" s="13" t="n"/>
      <c r="Q89" t="inlineStr">
        <is>
          <t>EMP-272C06A4</t>
        </is>
      </c>
      <c r="R89" t="inlineStr">
        <is>
          <t>Active</t>
        </is>
      </c>
    </row>
    <row r="90" ht="15.6" customHeight="1">
      <c r="A90" s="11">
        <f>ROW()-ROW($A$2)</f>
        <v/>
      </c>
      <c r="B90" s="7" t="inlineStr">
        <is>
          <t>Kishanram Jasaram</t>
        </is>
      </c>
      <c r="C90" s="12" t="inlineStr">
        <is>
          <t>Helper</t>
        </is>
      </c>
      <c r="D90" s="12" t="inlineStr">
        <is>
          <t>S. P. Hall</t>
        </is>
      </c>
      <c r="E90" s="68" t="n">
        <v>1</v>
      </c>
      <c r="F90" s="73" t="n"/>
      <c r="G90" s="73" t="n"/>
      <c r="H90" s="74">
        <f>SUM(F90:G90)</f>
        <v/>
      </c>
      <c r="I90" s="75" t="n"/>
      <c r="J90" s="76">
        <f>SUM(H90*I90)</f>
        <v/>
      </c>
      <c r="K90" s="8" t="n"/>
      <c r="L90" s="77" t="n"/>
      <c r="M90" s="13" t="n"/>
      <c r="N90" s="27" t="n"/>
      <c r="O90" s="13" t="n"/>
      <c r="P90" s="13" t="n"/>
      <c r="Q90" t="inlineStr">
        <is>
          <t>EMP-BF286AB6</t>
        </is>
      </c>
      <c r="R90" t="inlineStr">
        <is>
          <t>Active</t>
        </is>
      </c>
    </row>
    <row r="91" ht="15.6" customHeight="1">
      <c r="A91" s="11">
        <f>ROW()-ROW($A$2)</f>
        <v/>
      </c>
      <c r="B91" s="7" t="inlineStr">
        <is>
          <t>Savaisinh Harisinh</t>
        </is>
      </c>
      <c r="C91" s="12" t="inlineStr">
        <is>
          <t>Helper</t>
        </is>
      </c>
      <c r="D91" s="12" t="inlineStr">
        <is>
          <t>S. P. Hall</t>
        </is>
      </c>
      <c r="E91" s="68" t="n">
        <v>1</v>
      </c>
      <c r="F91" s="73" t="n"/>
      <c r="G91" s="73" t="n"/>
      <c r="H91" s="74">
        <f>SUM(F91:G91)</f>
        <v/>
      </c>
      <c r="I91" s="75" t="n"/>
      <c r="J91" s="76">
        <f>SUM(H91*I91)</f>
        <v/>
      </c>
      <c r="K91" s="8" t="n"/>
      <c r="L91" s="77" t="n"/>
      <c r="M91" s="13" t="n"/>
      <c r="N91" s="27" t="n"/>
      <c r="O91" s="13" t="n"/>
      <c r="P91" s="13" t="n"/>
      <c r="Q91" t="inlineStr">
        <is>
          <t>EMP-13CE7082</t>
        </is>
      </c>
      <c r="R91" t="inlineStr">
        <is>
          <t>Active</t>
        </is>
      </c>
    </row>
    <row r="92" ht="15.6" customHeight="1">
      <c r="A92" s="11">
        <f>ROW()-ROW($A$2)</f>
        <v/>
      </c>
      <c r="B92" s="7" t="inlineStr">
        <is>
          <t xml:space="preserve">Schin Javararam </t>
        </is>
      </c>
      <c r="C92" s="12" t="inlineStr">
        <is>
          <t>Helper</t>
        </is>
      </c>
      <c r="D92" s="12" t="inlineStr">
        <is>
          <t>S. P. Hall</t>
        </is>
      </c>
      <c r="E92" s="68" t="n">
        <v>1</v>
      </c>
      <c r="F92" s="73" t="n"/>
      <c r="G92" s="73" t="n"/>
      <c r="H92" s="74">
        <f>SUM(F92:G92)</f>
        <v/>
      </c>
      <c r="I92" s="75" t="n"/>
      <c r="J92" s="76">
        <f>SUM(H92*I92)</f>
        <v/>
      </c>
      <c r="K92" s="8" t="n"/>
      <c r="L92" s="77" t="n"/>
      <c r="M92" s="13" t="n"/>
      <c r="N92" s="27" t="n"/>
      <c r="O92" s="13" t="n"/>
      <c r="P92" s="13" t="n"/>
      <c r="Q92" t="inlineStr">
        <is>
          <t>EMP-6831CF2B</t>
        </is>
      </c>
      <c r="R92" t="inlineStr">
        <is>
          <t>Active</t>
        </is>
      </c>
    </row>
    <row r="93" ht="15.6" customHeight="1">
      <c r="A93" s="11">
        <f>ROW()-ROW($A$2)</f>
        <v/>
      </c>
      <c r="B93" s="7" t="inlineStr">
        <is>
          <t>Choturam Tulcharam</t>
        </is>
      </c>
      <c r="C93" s="12" t="inlineStr">
        <is>
          <t>Helper</t>
        </is>
      </c>
      <c r="D93" s="12" t="inlineStr">
        <is>
          <t>S. P. Hall</t>
        </is>
      </c>
      <c r="E93" s="68" t="n">
        <v>1</v>
      </c>
      <c r="F93" s="73" t="n"/>
      <c r="G93" s="73" t="n"/>
      <c r="H93" s="74">
        <f>SUM(F93:G93)</f>
        <v/>
      </c>
      <c r="I93" s="75" t="n"/>
      <c r="J93" s="76">
        <f>SUM(H93*I93)</f>
        <v/>
      </c>
      <c r="K93" s="8" t="n"/>
      <c r="L93" s="77" t="n"/>
      <c r="M93" s="13" t="n"/>
      <c r="N93" s="27" t="n"/>
      <c r="O93" s="13" t="n"/>
      <c r="P93" s="13" t="n"/>
      <c r="Q93" t="inlineStr">
        <is>
          <t>EMP-DB8E2614</t>
        </is>
      </c>
      <c r="R93" t="inlineStr">
        <is>
          <t>Active</t>
        </is>
      </c>
    </row>
    <row r="94" ht="15.6" customHeight="1">
      <c r="A94" s="11">
        <f>ROW()-ROW($A$2)</f>
        <v/>
      </c>
      <c r="B94" s="7" t="inlineStr">
        <is>
          <t>Dilipsinh Bhavarsinh</t>
        </is>
      </c>
      <c r="C94" s="12" t="inlineStr">
        <is>
          <t>Helper</t>
        </is>
      </c>
      <c r="D94" s="12" t="inlineStr">
        <is>
          <t>S. P. Hall</t>
        </is>
      </c>
      <c r="E94" s="68" t="n">
        <v>1</v>
      </c>
      <c r="F94" s="73" t="n"/>
      <c r="G94" s="73" t="n"/>
      <c r="H94" s="74">
        <f>SUM(F94:G94)</f>
        <v/>
      </c>
      <c r="I94" s="75" t="n"/>
      <c r="J94" s="76">
        <f>SUM(H94*I94)</f>
        <v/>
      </c>
      <c r="K94" s="8" t="n"/>
      <c r="L94" s="77" t="n"/>
      <c r="M94" s="13" t="n"/>
      <c r="N94" s="27" t="n"/>
      <c r="O94" s="13" t="n"/>
      <c r="P94" s="13" t="n"/>
      <c r="Q94" t="inlineStr">
        <is>
          <t>EMP-73A3B044</t>
        </is>
      </c>
      <c r="R94" t="inlineStr">
        <is>
          <t>Active</t>
        </is>
      </c>
    </row>
    <row r="95" ht="15.6" customHeight="1">
      <c r="A95" s="11">
        <f>ROW()-ROW($A$2)</f>
        <v/>
      </c>
      <c r="B95" s="7" t="n"/>
      <c r="C95" s="12" t="n"/>
      <c r="D95" s="12" t="n"/>
      <c r="E95" s="68" t="n"/>
      <c r="F95" s="73" t="n"/>
      <c r="G95" s="73" t="n"/>
      <c r="H95" s="74">
        <f>SUM(F95:G95)</f>
        <v/>
      </c>
      <c r="I95" s="75" t="n"/>
      <c r="J95" s="76">
        <f>SUM(H95*I95)</f>
        <v/>
      </c>
      <c r="K95" s="8" t="n"/>
      <c r="L95" s="77" t="n"/>
      <c r="M95" s="13" t="n"/>
      <c r="N95" s="27" t="n"/>
      <c r="O95" s="13" t="n"/>
      <c r="P95" s="13" t="n"/>
    </row>
    <row r="96" ht="15.6" customHeight="1">
      <c r="A96" s="11">
        <f>ROW()-ROW($A$2)</f>
        <v/>
      </c>
      <c r="B96" s="7" t="n"/>
      <c r="C96" s="12" t="n"/>
      <c r="D96" s="12" t="n"/>
      <c r="E96" s="68" t="n"/>
      <c r="F96" s="73" t="n"/>
      <c r="G96" s="73" t="n"/>
      <c r="H96" s="74">
        <f>SUM(F96:G96)</f>
        <v/>
      </c>
      <c r="I96" s="75" t="n"/>
      <c r="J96" s="76">
        <f>SUM(H96*I96)</f>
        <v/>
      </c>
      <c r="K96" s="8" t="n"/>
      <c r="L96" s="77" t="n"/>
      <c r="M96" s="13" t="n"/>
      <c r="N96" s="27" t="n"/>
      <c r="O96" s="13" t="n"/>
      <c r="P96" s="13" t="n"/>
    </row>
    <row r="97" ht="15.6" customHeight="1">
      <c r="A97" s="11">
        <f>ROW()-ROW($A$2)</f>
        <v/>
      </c>
      <c r="B97" s="12" t="n"/>
      <c r="C97" s="12" t="n"/>
      <c r="D97" s="12" t="n"/>
      <c r="E97" s="68" t="n"/>
      <c r="F97" s="73" t="n"/>
      <c r="G97" s="73" t="n"/>
      <c r="H97" s="74">
        <f>SUM(F97:G97)</f>
        <v/>
      </c>
      <c r="I97" s="75" t="n"/>
      <c r="J97" s="76">
        <f>SUM(H97*I97)</f>
        <v/>
      </c>
      <c r="K97" s="8" t="n"/>
      <c r="L97" s="77" t="n"/>
      <c r="M97" s="13" t="n"/>
      <c r="N97" s="27" t="n"/>
      <c r="O97" s="13" t="n"/>
      <c r="P97" s="13" t="n"/>
    </row>
    <row r="98" ht="15.6" customHeight="1">
      <c r="A98" s="11">
        <f>ROW()-ROW($A$2)</f>
        <v/>
      </c>
      <c r="B98" s="12" t="n"/>
      <c r="C98" s="12" t="n"/>
      <c r="D98" s="12" t="n"/>
      <c r="E98" s="68" t="n"/>
      <c r="F98" s="73" t="n"/>
      <c r="G98" s="73" t="n"/>
      <c r="H98" s="74">
        <f>SUM(F98:G98)</f>
        <v/>
      </c>
      <c r="I98" s="75" t="n"/>
      <c r="J98" s="76">
        <f>SUM(H98*I98)</f>
        <v/>
      </c>
      <c r="K98" s="8" t="n"/>
      <c r="L98" s="77" t="n"/>
      <c r="M98" s="13" t="n"/>
      <c r="N98" s="27" t="n"/>
      <c r="O98" s="13" t="n"/>
      <c r="P98" s="13" t="n"/>
    </row>
    <row r="99" ht="15.6" customHeight="1">
      <c r="A99" s="11">
        <f>ROW()-ROW($A$2)</f>
        <v/>
      </c>
      <c r="B99" s="12" t="n"/>
      <c r="C99" s="12" t="n"/>
      <c r="D99" s="12" t="n"/>
      <c r="E99" s="68" t="n"/>
      <c r="F99" s="73" t="n"/>
      <c r="G99" s="73" t="n"/>
      <c r="H99" s="74">
        <f>SUM(F99:G99)</f>
        <v/>
      </c>
      <c r="I99" s="75" t="n"/>
      <c r="J99" s="76">
        <f>SUM(H99*I99)</f>
        <v/>
      </c>
      <c r="K99" s="8" t="n"/>
      <c r="L99" s="77" t="n"/>
      <c r="M99" s="13" t="n"/>
      <c r="N99" s="27" t="n"/>
      <c r="O99" s="13" t="n"/>
      <c r="P99" s="13" t="n"/>
    </row>
    <row r="100" ht="15.6" customHeight="1">
      <c r="A100" s="11">
        <f>ROW()-ROW($A$2)</f>
        <v/>
      </c>
      <c r="B100" s="12" t="n"/>
      <c r="C100" s="12" t="n"/>
      <c r="D100" s="12" t="n"/>
      <c r="E100" s="68" t="n"/>
      <c r="F100" s="73" t="n"/>
      <c r="G100" s="73" t="n"/>
      <c r="H100" s="74">
        <f>SUM(F100:G100)</f>
        <v/>
      </c>
      <c r="I100" s="75" t="n"/>
      <c r="J100" s="76">
        <f>SUM(H100*I100)</f>
        <v/>
      </c>
      <c r="K100" s="8" t="n"/>
      <c r="L100" s="77" t="n"/>
      <c r="M100" s="13" t="n"/>
      <c r="N100" s="27" t="n"/>
      <c r="O100" s="13" t="n"/>
      <c r="P100" s="13" t="n"/>
    </row>
    <row r="101" ht="15.6" customHeight="1">
      <c r="A101" s="10" t="n"/>
      <c r="B101" s="7" t="n"/>
      <c r="C101" s="12" t="n"/>
      <c r="D101" s="12" t="n"/>
      <c r="E101" s="68" t="n"/>
      <c r="F101" s="73" t="n"/>
      <c r="G101" s="73" t="n"/>
      <c r="H101" s="74">
        <f>SUM(F101:G101)</f>
        <v/>
      </c>
      <c r="I101" s="75" t="n"/>
      <c r="J101" s="76">
        <f>SUM(H101*I101)</f>
        <v/>
      </c>
      <c r="K101" s="5" t="n"/>
      <c r="L101" s="77" t="n"/>
      <c r="M101" s="13" t="n"/>
      <c r="N101" s="27" t="n"/>
      <c r="O101" s="13" t="n"/>
      <c r="P101" s="13" t="n"/>
    </row>
    <row r="102">
      <c r="A102" s="10" t="n"/>
      <c r="B102" s="7" t="n"/>
      <c r="C102" s="7" t="n"/>
      <c r="D102" s="7" t="n"/>
      <c r="E102" s="68" t="n"/>
      <c r="F102" s="73" t="n"/>
      <c r="G102" s="73" t="n"/>
      <c r="H102" s="73" t="n"/>
      <c r="I102" s="91" t="n"/>
      <c r="J102" s="76" t="n"/>
      <c r="K102" s="5" t="n"/>
      <c r="L102" s="77" t="n"/>
      <c r="M102" s="13" t="n"/>
      <c r="N102" s="27" t="n"/>
      <c r="O102" s="13" t="n"/>
      <c r="P102" s="13" t="n"/>
    </row>
    <row r="103">
      <c r="A103" s="10" t="n"/>
      <c r="B103" s="7" t="n"/>
      <c r="C103" s="7" t="n"/>
      <c r="D103" s="7" t="n"/>
      <c r="E103" s="68" t="n"/>
      <c r="F103" s="73" t="n"/>
      <c r="G103" s="73" t="n"/>
      <c r="H103" s="73" t="n"/>
      <c r="I103" s="91" t="n"/>
      <c r="J103" s="76" t="n"/>
      <c r="K103" s="5" t="n"/>
      <c r="L103" s="77" t="n"/>
      <c r="M103" s="13" t="n"/>
      <c r="N103" s="27" t="n"/>
      <c r="O103" s="13" t="n"/>
      <c r="P103" s="13" t="n"/>
    </row>
    <row r="104" ht="16.2" customHeight="1" thickBot="1">
      <c r="A104" s="37">
        <f>COUNT(A3:A100)</f>
        <v/>
      </c>
      <c r="B104" s="36" t="inlineStr">
        <is>
          <t>Total</t>
        </is>
      </c>
      <c r="C104" s="7" t="n"/>
      <c r="D104" s="7" t="n"/>
      <c r="E104" s="68" t="n"/>
      <c r="F104" s="92">
        <f>SUM(F3:F100)</f>
        <v/>
      </c>
      <c r="G104" s="73" t="n"/>
      <c r="H104" s="92">
        <f>SUM(H3:H100)</f>
        <v/>
      </c>
      <c r="I104" s="91" t="n"/>
      <c r="J104" s="93">
        <f>SUM(J3:J100)</f>
        <v/>
      </c>
      <c r="K104" s="5" t="n"/>
      <c r="L104" s="77" t="n"/>
      <c r="M104" s="13" t="n"/>
      <c r="N104" s="27" t="n"/>
      <c r="O104" s="13" t="n"/>
      <c r="P104" s="13" t="n"/>
    </row>
    <row r="105" ht="16.2" customHeight="1" thickTop="1">
      <c r="I105" s="33" t="inlineStr">
        <is>
          <t>Advance</t>
        </is>
      </c>
      <c r="J105" s="94" t="n">
        <v>1</v>
      </c>
    </row>
    <row r="106" ht="15.6" customHeight="1">
      <c r="I106" s="33" t="inlineStr">
        <is>
          <t>Sweets</t>
        </is>
      </c>
      <c r="J106" s="94" t="n">
        <v>1</v>
      </c>
    </row>
    <row r="107" ht="15.6" customHeight="1">
      <c r="I107" s="33" t="inlineStr">
        <is>
          <t>Balance</t>
        </is>
      </c>
      <c r="J107" s="95">
        <f>SUM(J104-J105-J106)</f>
        <v/>
      </c>
    </row>
  </sheetData>
  <autoFilter ref="A2:P104"/>
  <conditionalFormatting sqref="F104">
    <cfRule type="cellIs" priority="4" operator="lessThan" dxfId="1" stopIfTrue="1">
      <formula>1</formula>
    </cfRule>
  </conditionalFormatting>
  <conditionalFormatting sqref="H104">
    <cfRule type="cellIs" priority="2" operator="lessThan" dxfId="1" stopIfTrue="1">
      <formula>1</formula>
    </cfRule>
  </conditionalFormatting>
  <conditionalFormatting sqref="J104">
    <cfRule type="cellIs" priority="3" operator="lessThan" dxfId="1" stopIfTrue="1">
      <formula>1</formula>
    </cfRule>
  </conditionalFormatting>
  <conditionalFormatting sqref="J105:J107">
    <cfRule type="cellIs" priority="1" operator="lessThan" dxfId="0" stopIfTrue="1">
      <formula>0</formula>
    </cfRule>
  </conditionalFormatting>
  <pageMargins left="0.7086614173228347" right="0.7086614173228347" top="0.7480314960629921" bottom="0.7480314960629921" header="0.3149606299212598" footer="0.3149606299212598"/>
  <pageSetup orientation="portrait" paperSize="9"/>
  <headerFooter>
    <oddHeader>&amp;RPrint Date : &amp;D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7"/>
  <sheetViews>
    <sheetView zoomScaleNormal="100" workbookViewId="0">
      <pane xSplit="5" ySplit="2" topLeftCell="F3" activePane="bottomRight" state="frozenSplit"/>
      <selection pane="topRight" activeCell="F1" sqref="F1"/>
      <selection pane="bottomLeft" activeCell="A9" sqref="A9"/>
      <selection pane="bottomRight" activeCell="D8" sqref="D8"/>
    </sheetView>
  </sheetViews>
  <sheetFormatPr baseColWidth="8" defaultRowHeight="14.4"/>
  <cols>
    <col width="5.88671875" bestFit="1" customWidth="1" min="1" max="1"/>
    <col width="31.88671875" customWidth="1" min="2" max="2"/>
    <col width="10.6640625" customWidth="1" min="3" max="3"/>
    <col width="14.5546875" customWidth="1" min="4" max="4"/>
    <col width="6.88671875" customWidth="1" min="5" max="5"/>
    <col width="9.109375" customWidth="1" min="6" max="6"/>
    <col width="8.109375" customWidth="1" min="7" max="7"/>
    <col width="12.88671875" bestFit="1" customWidth="1" min="9" max="9"/>
    <col width="12" bestFit="1" customWidth="1" style="66" min="10" max="10"/>
  </cols>
  <sheetData>
    <row r="1" ht="23.4" customHeight="1">
      <c r="A1" s="22" t="n"/>
      <c r="B1" s="23" t="inlineStr">
        <is>
          <t>Bhagwat</t>
        </is>
      </c>
      <c r="C1" s="23" t="inlineStr">
        <is>
          <t>Extra Staff Diwali-26</t>
        </is>
      </c>
      <c r="D1" s="23" t="n"/>
      <c r="E1" s="24" t="n"/>
      <c r="F1" s="22" t="n"/>
      <c r="G1" s="22" t="n"/>
      <c r="H1" s="22" t="n"/>
      <c r="I1" s="22" t="n"/>
      <c r="J1" s="67" t="n"/>
      <c r="K1" s="22" t="n"/>
      <c r="L1" s="22" t="n"/>
      <c r="M1" s="25" t="n"/>
      <c r="N1" s="25" t="n"/>
      <c r="O1" s="38" t="n"/>
      <c r="P1" s="38" t="n"/>
    </row>
    <row r="2" ht="32.4" customHeight="1">
      <c r="A2" s="14" t="inlineStr">
        <is>
          <t>No.</t>
        </is>
      </c>
      <c r="B2" s="15" t="inlineStr">
        <is>
          <t>Staff Name</t>
        </is>
      </c>
      <c r="C2" s="15" t="inlineStr">
        <is>
          <t>Designation</t>
        </is>
      </c>
      <c r="D2" s="15" t="inlineStr">
        <is>
          <t>Loctation</t>
        </is>
      </c>
      <c r="E2" s="68" t="inlineStr">
        <is>
          <t>Staff</t>
        </is>
      </c>
      <c r="F2" s="69" t="inlineStr">
        <is>
          <t>Sept Present</t>
        </is>
      </c>
      <c r="G2" s="69" t="inlineStr">
        <is>
          <t>Octo Present</t>
        </is>
      </c>
      <c r="H2" s="69" t="inlineStr">
        <is>
          <t>Total Present</t>
        </is>
      </c>
      <c r="I2" s="17" t="inlineStr">
        <is>
          <t>Per Day Pay</t>
        </is>
      </c>
      <c r="J2" s="70" t="inlineStr">
        <is>
          <t>Net Pay</t>
        </is>
      </c>
      <c r="K2" s="18" t="inlineStr">
        <is>
          <t>2026 Per Day</t>
        </is>
      </c>
      <c r="L2" s="71" t="inlineStr">
        <is>
          <t>Sweet Kg.</t>
        </is>
      </c>
      <c r="M2" s="71" t="inlineStr">
        <is>
          <t>Aadhar</t>
        </is>
      </c>
      <c r="N2" s="72" t="inlineStr">
        <is>
          <t>Mobile</t>
        </is>
      </c>
      <c r="O2" s="71" t="inlineStr">
        <is>
          <t>From Date</t>
        </is>
      </c>
      <c r="P2" s="71" t="inlineStr">
        <is>
          <t>To Date</t>
        </is>
      </c>
      <c r="Q2" t="inlineStr">
        <is>
          <t>App ID</t>
        </is>
      </c>
      <c r="R2" t="inlineStr">
        <is>
          <t>Employment Status</t>
        </is>
      </c>
      <c r="S2" t="inlineStr">
        <is>
          <t>Departure Date</t>
        </is>
      </c>
      <c r="T2" t="inlineStr">
        <is>
          <t>Departure Reason</t>
        </is>
      </c>
      <c r="U2" t="inlineStr">
        <is>
          <t>Status Verified</t>
        </is>
      </c>
    </row>
    <row r="3" ht="15.6" customHeight="1">
      <c r="A3" s="11">
        <f>ROW()-ROW($A$2)</f>
        <v/>
      </c>
      <c r="B3" s="12" t="inlineStr">
        <is>
          <t>Bhagwatpuri Gopalpuri Goswami</t>
        </is>
      </c>
      <c r="C3" s="12" t="inlineStr">
        <is>
          <t>Packing</t>
        </is>
      </c>
      <c r="D3" s="12" t="inlineStr">
        <is>
          <t>Sardar Hall</t>
        </is>
      </c>
      <c r="E3" s="68" t="n">
        <v>1</v>
      </c>
      <c r="F3" s="73" t="n">
        <v>5</v>
      </c>
      <c r="G3" s="73" t="n">
        <v>25</v>
      </c>
      <c r="H3" s="74">
        <f>SUM(F3:G3)</f>
        <v/>
      </c>
      <c r="I3" s="75" t="n">
        <v>100</v>
      </c>
      <c r="J3" s="76">
        <f>SUM(H3*I3)</f>
        <v/>
      </c>
      <c r="K3" s="21" t="n"/>
      <c r="L3" s="77" t="n"/>
      <c r="M3" s="13" t="n"/>
      <c r="N3" s="27" t="n"/>
      <c r="O3" s="13" t="n"/>
      <c r="P3" s="13" t="n"/>
      <c r="Q3" t="inlineStr">
        <is>
          <t>EMP-365F30ED</t>
        </is>
      </c>
      <c r="R3" t="inlineStr">
        <is>
          <t>Active</t>
        </is>
      </c>
    </row>
    <row r="4" ht="15.6" customHeight="1">
      <c r="A4" s="11">
        <f>ROW()-ROW($A$2)</f>
        <v/>
      </c>
      <c r="B4" s="12" t="inlineStr">
        <is>
          <t>Mohitpuri Ashokpuri Goswami</t>
        </is>
      </c>
      <c r="C4" s="12" t="n"/>
      <c r="D4" s="12" t="n"/>
      <c r="E4" s="68" t="n"/>
      <c r="F4" s="73" t="n"/>
      <c r="G4" s="73" t="n"/>
      <c r="H4" s="74">
        <f>SUM(F4:G4)</f>
        <v/>
      </c>
      <c r="I4" s="75" t="n"/>
      <c r="J4" s="76">
        <f>SUM(H4*I4)</f>
        <v/>
      </c>
      <c r="K4" s="5" t="n"/>
      <c r="L4" s="78" t="n"/>
      <c r="M4" s="13" t="n"/>
      <c r="N4" s="27" t="n"/>
      <c r="O4" s="13" t="n"/>
      <c r="P4" s="13" t="n"/>
      <c r="Q4" t="inlineStr">
        <is>
          <t>EMP-414A3801</t>
        </is>
      </c>
      <c r="R4" t="inlineStr">
        <is>
          <t>Active</t>
        </is>
      </c>
    </row>
    <row r="5" ht="15.6" customHeight="1">
      <c r="A5" s="11">
        <f>ROW()-ROW($A$2)</f>
        <v/>
      </c>
      <c r="B5" s="7" t="inlineStr">
        <is>
          <t>Hardik Pankajpuri Goswami</t>
        </is>
      </c>
      <c r="C5" s="12" t="n"/>
      <c r="D5" s="12" t="n"/>
      <c r="E5" s="68" t="n"/>
      <c r="F5" s="73" t="n"/>
      <c r="G5" s="73" t="n"/>
      <c r="H5" s="74">
        <f>SUM(F5:G5)</f>
        <v/>
      </c>
      <c r="I5" s="75" t="n"/>
      <c r="J5" s="76">
        <f>SUM(H5*I5)</f>
        <v/>
      </c>
      <c r="K5" s="8" t="n"/>
      <c r="L5" s="77" t="n"/>
      <c r="M5" s="13" t="n"/>
      <c r="N5" s="27" t="n"/>
      <c r="O5" s="13" t="n"/>
      <c r="P5" s="13" t="n"/>
      <c r="Q5" t="inlineStr">
        <is>
          <t>EMP-FF3BD30A</t>
        </is>
      </c>
      <c r="R5" t="inlineStr">
        <is>
          <t>Active</t>
        </is>
      </c>
    </row>
    <row r="6" ht="15.6" customHeight="1">
      <c r="A6" s="11">
        <f>ROW()-ROW($A$2)</f>
        <v/>
      </c>
      <c r="B6" s="7" t="inlineStr">
        <is>
          <t>Nathu shankar Damor</t>
        </is>
      </c>
      <c r="C6" s="12" t="n"/>
      <c r="D6" s="12" t="n"/>
      <c r="E6" s="68" t="n"/>
      <c r="F6" s="73" t="n"/>
      <c r="G6" s="73" t="n"/>
      <c r="H6" s="74">
        <f>SUM(F6:G6)</f>
        <v/>
      </c>
      <c r="I6" s="75" t="n"/>
      <c r="J6" s="76">
        <f>SUM(H6*I6)</f>
        <v/>
      </c>
      <c r="K6" s="8" t="n"/>
      <c r="L6" s="77" t="n"/>
      <c r="M6" s="13" t="n"/>
      <c r="N6" s="27" t="n"/>
      <c r="O6" s="13" t="n"/>
      <c r="P6" s="13" t="n"/>
      <c r="Q6" t="inlineStr">
        <is>
          <t>EMP-012DD1CE</t>
        </is>
      </c>
      <c r="R6" t="inlineStr">
        <is>
          <t>Active</t>
        </is>
      </c>
    </row>
    <row r="7" ht="15.6" customHeight="1">
      <c r="A7" s="11">
        <f>ROW()-ROW($A$2)</f>
        <v/>
      </c>
      <c r="B7" s="7" t="inlineStr">
        <is>
          <t>Govind Dungarlal Aahari</t>
        </is>
      </c>
      <c r="C7" s="12" t="n"/>
      <c r="D7" s="12" t="n"/>
      <c r="E7" s="68" t="n"/>
      <c r="F7" s="73" t="n"/>
      <c r="G7" s="73" t="n"/>
      <c r="H7" s="74">
        <f>SUM(F7:G7)</f>
        <v/>
      </c>
      <c r="I7" s="75" t="n"/>
      <c r="J7" s="76">
        <f>SUM(H7*I7)</f>
        <v/>
      </c>
      <c r="K7" s="8" t="n"/>
      <c r="L7" s="77" t="n"/>
      <c r="M7" s="13" t="n"/>
      <c r="N7" s="27" t="n"/>
      <c r="O7" s="13" t="n"/>
      <c r="P7" s="13" t="n"/>
      <c r="Q7" t="inlineStr">
        <is>
          <t>EMP-E7796C43</t>
        </is>
      </c>
      <c r="R7" t="inlineStr">
        <is>
          <t>Active</t>
        </is>
      </c>
    </row>
    <row r="8" ht="15.6" customHeight="1">
      <c r="A8" s="11">
        <f>ROW()-ROW($A$2)</f>
        <v/>
      </c>
      <c r="B8" s="7" t="inlineStr">
        <is>
          <t>Umesh Vajaram Aahari</t>
        </is>
      </c>
      <c r="C8" s="12" t="n"/>
      <c r="D8" s="12" t="n"/>
      <c r="E8" s="68" t="n"/>
      <c r="F8" s="73" t="n"/>
      <c r="G8" s="73" t="n"/>
      <c r="H8" s="74">
        <f>SUM(F8:G8)</f>
        <v/>
      </c>
      <c r="I8" s="75" t="n"/>
      <c r="J8" s="76">
        <f>SUM(H8*I8)</f>
        <v/>
      </c>
      <c r="K8" s="8" t="n"/>
      <c r="L8" s="77" t="n"/>
      <c r="M8" s="13" t="n"/>
      <c r="N8" s="27" t="n"/>
      <c r="O8" s="13" t="n"/>
      <c r="P8" s="13" t="n"/>
      <c r="Q8" t="inlineStr">
        <is>
          <t>EMP-D8BA8BD2</t>
        </is>
      </c>
      <c r="R8" t="inlineStr">
        <is>
          <t>Active</t>
        </is>
      </c>
    </row>
    <row r="9" ht="15.6" customHeight="1">
      <c r="A9" s="11">
        <f>ROW()-ROW($A$2)</f>
        <v/>
      </c>
      <c r="B9" s="7" t="inlineStr">
        <is>
          <t>Kapil Dungarlal Aahari</t>
        </is>
      </c>
      <c r="C9" s="12" t="n"/>
      <c r="D9" s="12" t="n"/>
      <c r="E9" s="68" t="n"/>
      <c r="F9" s="73" t="n"/>
      <c r="G9" s="73" t="n"/>
      <c r="H9" s="74">
        <f>SUM(F9:G9)</f>
        <v/>
      </c>
      <c r="I9" s="75" t="n"/>
      <c r="J9" s="76">
        <f>SUM(H9*I9)</f>
        <v/>
      </c>
      <c r="K9" s="8" t="n"/>
      <c r="L9" s="77" t="n"/>
      <c r="M9" s="13" t="n"/>
      <c r="N9" s="27" t="n"/>
      <c r="O9" s="13" t="n"/>
      <c r="P9" s="13" t="n"/>
      <c r="Q9" t="inlineStr">
        <is>
          <t>EMP-5D0A0424</t>
        </is>
      </c>
      <c r="R9" t="inlineStr">
        <is>
          <t>Active</t>
        </is>
      </c>
    </row>
    <row r="10" ht="15.6" customHeight="1">
      <c r="A10" s="11">
        <f>ROW()-ROW($A$2)</f>
        <v/>
      </c>
      <c r="B10" s="7" t="inlineStr">
        <is>
          <t>Vinod Nanji Aahari</t>
        </is>
      </c>
      <c r="C10" s="12" t="n"/>
      <c r="D10" s="12" t="n"/>
      <c r="E10" s="68" t="n"/>
      <c r="F10" s="73" t="n"/>
      <c r="G10" s="73" t="n"/>
      <c r="H10" s="74">
        <f>SUM(F10:G10)</f>
        <v/>
      </c>
      <c r="I10" s="75" t="n"/>
      <c r="J10" s="76">
        <f>SUM(H10*I10)</f>
        <v/>
      </c>
      <c r="K10" s="8" t="n"/>
      <c r="L10" s="77" t="n"/>
      <c r="M10" s="13" t="n"/>
      <c r="N10" s="27" t="n"/>
      <c r="O10" s="13" t="n"/>
      <c r="P10" s="13" t="n"/>
      <c r="Q10" t="inlineStr">
        <is>
          <t>EMP-BA5C7EFE</t>
        </is>
      </c>
      <c r="R10" t="inlineStr">
        <is>
          <t>Active</t>
        </is>
      </c>
    </row>
    <row r="11" ht="15.6" customHeight="1">
      <c r="A11" s="11">
        <f>ROW()-ROW($A$2)</f>
        <v/>
      </c>
      <c r="B11" s="7" t="inlineStr">
        <is>
          <t>Mangji Thavara Nanoma</t>
        </is>
      </c>
      <c r="C11" s="12" t="n"/>
      <c r="D11" s="12" t="n"/>
      <c r="E11" s="68" t="n"/>
      <c r="F11" s="73" t="n"/>
      <c r="G11" s="73" t="n"/>
      <c r="H11" s="74">
        <f>SUM(F11:G11)</f>
        <v/>
      </c>
      <c r="I11" s="75" t="n"/>
      <c r="J11" s="76">
        <f>SUM(H11*I11)</f>
        <v/>
      </c>
      <c r="K11" s="8" t="n"/>
      <c r="L11" s="77" t="n"/>
      <c r="M11" s="13" t="n"/>
      <c r="N11" s="27" t="n"/>
      <c r="O11" s="13" t="n"/>
      <c r="P11" s="13" t="n"/>
      <c r="Q11" t="inlineStr">
        <is>
          <t>EMP-8D04A3D4</t>
        </is>
      </c>
      <c r="R11" t="inlineStr">
        <is>
          <t>Active</t>
        </is>
      </c>
    </row>
    <row r="12" ht="15.6" customHeight="1">
      <c r="A12" s="11">
        <f>ROW()-ROW($A$2)</f>
        <v/>
      </c>
      <c r="B12" s="7" t="inlineStr">
        <is>
          <t>Bhagu jagji Nanoma</t>
        </is>
      </c>
      <c r="C12" s="12" t="n"/>
      <c r="D12" s="12" t="n"/>
      <c r="E12" s="68" t="n"/>
      <c r="F12" s="73" t="n"/>
      <c r="G12" s="73" t="n"/>
      <c r="H12" s="74">
        <f>SUM(F12:G12)</f>
        <v/>
      </c>
      <c r="I12" s="75" t="n"/>
      <c r="J12" s="76">
        <f>SUM(H12*I12)</f>
        <v/>
      </c>
      <c r="K12" s="8" t="n"/>
      <c r="L12" s="77" t="n"/>
      <c r="M12" s="13" t="n"/>
      <c r="N12" s="27" t="n"/>
      <c r="O12" s="13" t="n"/>
      <c r="P12" s="13" t="n"/>
      <c r="Q12" t="inlineStr">
        <is>
          <t>EMP-4BE362D1</t>
        </is>
      </c>
      <c r="R12" t="inlineStr">
        <is>
          <t>Active</t>
        </is>
      </c>
    </row>
    <row r="13" ht="15.6" customHeight="1">
      <c r="A13" s="11">
        <f>ROW()-ROW($A$2)</f>
        <v/>
      </c>
      <c r="B13" s="7" t="inlineStr">
        <is>
          <t>Ramesh Jagji Nanoma</t>
        </is>
      </c>
      <c r="C13" s="12" t="n"/>
      <c r="D13" s="12" t="n"/>
      <c r="E13" s="68" t="n"/>
      <c r="F13" s="73" t="n"/>
      <c r="G13" s="73" t="n"/>
      <c r="H13" s="74">
        <f>SUM(F13:G13)</f>
        <v/>
      </c>
      <c r="I13" s="75" t="n"/>
      <c r="J13" s="76">
        <f>SUM(H13*I13)</f>
        <v/>
      </c>
      <c r="K13" s="8" t="n"/>
      <c r="L13" s="77" t="n"/>
      <c r="M13" s="13" t="n"/>
      <c r="N13" s="27" t="n"/>
      <c r="O13" s="13" t="n"/>
      <c r="P13" s="13" t="n"/>
      <c r="Q13" t="inlineStr">
        <is>
          <t>EMP-F47B2063</t>
        </is>
      </c>
      <c r="R13" t="inlineStr">
        <is>
          <t>Active</t>
        </is>
      </c>
    </row>
    <row r="14" ht="15.6" customHeight="1">
      <c r="A14" s="11">
        <f>ROW()-ROW($A$2)</f>
        <v/>
      </c>
      <c r="B14" s="7" t="inlineStr">
        <is>
          <t>Jagdish Mangala Damor</t>
        </is>
      </c>
      <c r="C14" s="12" t="n"/>
      <c r="D14" s="12" t="n"/>
      <c r="E14" s="68" t="n"/>
      <c r="F14" s="73" t="n"/>
      <c r="G14" s="73" t="n"/>
      <c r="H14" s="74">
        <f>SUM(F14:G14)</f>
        <v/>
      </c>
      <c r="I14" s="75" t="n"/>
      <c r="J14" s="76">
        <f>SUM(H14*I14)</f>
        <v/>
      </c>
      <c r="K14" s="8" t="n"/>
      <c r="L14" s="77" t="n"/>
      <c r="M14" s="13" t="n"/>
      <c r="N14" s="27" t="n"/>
      <c r="O14" s="13" t="n"/>
      <c r="P14" s="13" t="n"/>
      <c r="Q14" t="inlineStr">
        <is>
          <t>EMP-0A7508E7</t>
        </is>
      </c>
      <c r="R14" t="inlineStr">
        <is>
          <t>Active</t>
        </is>
      </c>
    </row>
    <row r="15" ht="15.6" customHeight="1">
      <c r="A15" s="11">
        <f>ROW()-ROW($A$2)</f>
        <v/>
      </c>
      <c r="B15" s="7" t="inlineStr">
        <is>
          <t>Devram Dalaji Damor</t>
        </is>
      </c>
      <c r="C15" s="12" t="n"/>
      <c r="D15" s="12" t="n"/>
      <c r="E15" s="68" t="n"/>
      <c r="F15" s="73" t="n"/>
      <c r="G15" s="73" t="n"/>
      <c r="H15" s="74">
        <f>SUM(F15:G15)</f>
        <v/>
      </c>
      <c r="I15" s="75" t="n"/>
      <c r="J15" s="76">
        <f>SUM(H15*I15)</f>
        <v/>
      </c>
      <c r="K15" s="8" t="n"/>
      <c r="L15" s="77" t="n"/>
      <c r="M15" s="13" t="n"/>
      <c r="N15" s="27" t="n"/>
      <c r="O15" s="13" t="n"/>
      <c r="P15" s="13" t="n"/>
      <c r="Q15" t="inlineStr">
        <is>
          <t>EMP-641F7A9A</t>
        </is>
      </c>
      <c r="R15" t="inlineStr">
        <is>
          <t>Active</t>
        </is>
      </c>
    </row>
    <row r="16" ht="15.6" customHeight="1">
      <c r="A16" s="11">
        <f>ROW()-ROW($A$2)</f>
        <v/>
      </c>
      <c r="B16" s="7" t="inlineStr">
        <is>
          <t>Rohit Jagdish Damor</t>
        </is>
      </c>
      <c r="C16" s="12" t="n"/>
      <c r="D16" s="12" t="n"/>
      <c r="E16" s="68" t="n"/>
      <c r="F16" s="73" t="n"/>
      <c r="G16" s="73" t="n"/>
      <c r="H16" s="74">
        <f>SUM(F16:G16)</f>
        <v/>
      </c>
      <c r="I16" s="75" t="n"/>
      <c r="J16" s="76">
        <f>SUM(H16*I16)</f>
        <v/>
      </c>
      <c r="K16" s="8" t="n"/>
      <c r="L16" s="77" t="n"/>
      <c r="M16" s="13" t="n"/>
      <c r="N16" s="27" t="n"/>
      <c r="O16" s="13" t="n"/>
      <c r="P16" s="13" t="n"/>
      <c r="Q16" t="inlineStr">
        <is>
          <t>EMP-D53F12BC</t>
        </is>
      </c>
      <c r="R16" t="inlineStr">
        <is>
          <t>Active</t>
        </is>
      </c>
    </row>
    <row r="17" ht="15.6" customHeight="1">
      <c r="A17" s="11">
        <f>ROW()-ROW($A$2)</f>
        <v/>
      </c>
      <c r="B17" s="7" t="inlineStr">
        <is>
          <t>Ramlal khemji Damor</t>
        </is>
      </c>
      <c r="C17" s="12" t="n"/>
      <c r="D17" s="12" t="n"/>
      <c r="E17" s="68" t="n"/>
      <c r="F17" s="73" t="n"/>
      <c r="G17" s="73" t="n"/>
      <c r="H17" s="74">
        <f>SUM(F17:G17)</f>
        <v/>
      </c>
      <c r="I17" s="75" t="n"/>
      <c r="J17" s="76">
        <f>SUM(H17*I17)</f>
        <v/>
      </c>
      <c r="K17" s="8" t="n"/>
      <c r="L17" s="77" t="n"/>
      <c r="M17" s="13" t="n"/>
      <c r="N17" s="27" t="n"/>
      <c r="O17" s="13" t="n"/>
      <c r="P17" s="13" t="n"/>
      <c r="Q17" t="inlineStr">
        <is>
          <t>EMP-643D368E</t>
        </is>
      </c>
      <c r="R17" t="inlineStr">
        <is>
          <t>Active</t>
        </is>
      </c>
    </row>
    <row r="18" ht="15.6" customHeight="1">
      <c r="A18" s="11">
        <f>ROW()-ROW($A$2)</f>
        <v/>
      </c>
      <c r="B18" s="7" t="inlineStr">
        <is>
          <t>Kaluram Genaji Damor</t>
        </is>
      </c>
      <c r="C18" s="12" t="n"/>
      <c r="D18" s="12" t="n"/>
      <c r="E18" s="68" t="n"/>
      <c r="F18" s="73" t="n"/>
      <c r="G18" s="73" t="n"/>
      <c r="H18" s="74">
        <f>SUM(F18:G18)</f>
        <v/>
      </c>
      <c r="I18" s="75" t="n"/>
      <c r="J18" s="76">
        <f>SUM(H18*I18)</f>
        <v/>
      </c>
      <c r="K18" s="8" t="n"/>
      <c r="L18" s="77" t="n"/>
      <c r="M18" s="13" t="n"/>
      <c r="N18" s="27" t="n"/>
      <c r="O18" s="13" t="n"/>
      <c r="P18" s="13" t="n"/>
      <c r="Q18" t="inlineStr">
        <is>
          <t>EMP-00B24C37</t>
        </is>
      </c>
      <c r="R18" t="inlineStr">
        <is>
          <t>Active</t>
        </is>
      </c>
    </row>
    <row r="19" ht="15.6" customHeight="1">
      <c r="A19" s="11">
        <f>ROW()-ROW($A$2)</f>
        <v/>
      </c>
      <c r="B19" s="7" t="inlineStr">
        <is>
          <t>Devilal Shankerlal Aahari</t>
        </is>
      </c>
      <c r="C19" s="12" t="n"/>
      <c r="D19" s="12" t="n"/>
      <c r="E19" s="68" t="n"/>
      <c r="F19" s="73" t="n"/>
      <c r="G19" s="73" t="n"/>
      <c r="H19" s="74">
        <f>SUM(F19:G19)</f>
        <v/>
      </c>
      <c r="I19" s="75" t="n"/>
      <c r="J19" s="76">
        <f>SUM(H19*I19)</f>
        <v/>
      </c>
      <c r="K19" s="8" t="n"/>
      <c r="L19" s="77" t="n"/>
      <c r="M19" s="13" t="n"/>
      <c r="N19" s="27" t="n"/>
      <c r="O19" s="13" t="n"/>
      <c r="P19" s="13" t="n"/>
      <c r="Q19" t="inlineStr">
        <is>
          <t>EMP-3A870DF5</t>
        </is>
      </c>
      <c r="R19" t="inlineStr">
        <is>
          <t>Active</t>
        </is>
      </c>
    </row>
    <row r="20" ht="15.6" customHeight="1">
      <c r="A20" s="11">
        <f>ROW()-ROW($A$2)</f>
        <v/>
      </c>
      <c r="B20" s="7" t="inlineStr">
        <is>
          <t>Harish Valaji Didor</t>
        </is>
      </c>
      <c r="C20" s="12" t="n"/>
      <c r="D20" s="12" t="n"/>
      <c r="E20" s="68" t="n"/>
      <c r="F20" s="73" t="n"/>
      <c r="G20" s="73" t="n"/>
      <c r="H20" s="74">
        <f>SUM(F20:G20)</f>
        <v/>
      </c>
      <c r="I20" s="75" t="n"/>
      <c r="J20" s="76">
        <f>SUM(H20*I20)</f>
        <v/>
      </c>
      <c r="K20" s="8" t="n"/>
      <c r="L20" s="77" t="n"/>
      <c r="M20" s="13" t="n"/>
      <c r="N20" s="27" t="n"/>
      <c r="O20" s="13" t="n"/>
      <c r="P20" s="13" t="n"/>
      <c r="Q20" t="inlineStr">
        <is>
          <t>EMP-9FF76B08</t>
        </is>
      </c>
      <c r="R20" t="inlineStr">
        <is>
          <t>Active</t>
        </is>
      </c>
    </row>
    <row r="21" ht="15.6" customHeight="1">
      <c r="A21" s="11">
        <f>ROW()-ROW($A$2)</f>
        <v/>
      </c>
      <c r="B21" s="7" t="inlineStr">
        <is>
          <t>Premshanker Bhuraji Nanoma</t>
        </is>
      </c>
      <c r="C21" s="12" t="n"/>
      <c r="D21" s="12" t="n"/>
      <c r="E21" s="68" t="n"/>
      <c r="F21" s="73" t="n"/>
      <c r="G21" s="73" t="n"/>
      <c r="H21" s="74">
        <f>SUM(F21:G21)</f>
        <v/>
      </c>
      <c r="I21" s="75" t="n"/>
      <c r="J21" s="76">
        <f>SUM(H21*I21)</f>
        <v/>
      </c>
      <c r="K21" s="8" t="n"/>
      <c r="L21" s="77" t="n"/>
      <c r="M21" s="13" t="n"/>
      <c r="N21" s="27" t="n"/>
      <c r="O21" s="13" t="n"/>
      <c r="P21" s="13" t="n"/>
      <c r="Q21" t="inlineStr">
        <is>
          <t>EMP-1EB0644D</t>
        </is>
      </c>
      <c r="R21" t="inlineStr">
        <is>
          <t>Active</t>
        </is>
      </c>
    </row>
    <row r="22" ht="15.6" customHeight="1">
      <c r="A22" s="11">
        <f>ROW()-ROW($A$2)</f>
        <v/>
      </c>
      <c r="B22" s="7" t="inlineStr">
        <is>
          <t>Pankaj Kalia Nanoma</t>
        </is>
      </c>
      <c r="C22" s="12" t="n"/>
      <c r="D22" s="12" t="n"/>
      <c r="E22" s="68" t="n"/>
      <c r="F22" s="73" t="n"/>
      <c r="G22" s="73" t="n"/>
      <c r="H22" s="74">
        <f>SUM(F22:G22)</f>
        <v/>
      </c>
      <c r="I22" s="75" t="n"/>
      <c r="J22" s="76">
        <f>SUM(H22*I22)</f>
        <v/>
      </c>
      <c r="K22" s="8" t="n"/>
      <c r="L22" s="77" t="n"/>
      <c r="M22" s="13" t="n"/>
      <c r="N22" s="27" t="n"/>
      <c r="O22" s="13" t="n"/>
      <c r="P22" s="13" t="n"/>
      <c r="Q22" t="inlineStr">
        <is>
          <t>EMP-3F6EEE4C</t>
        </is>
      </c>
      <c r="R22" t="inlineStr">
        <is>
          <t>Active</t>
        </is>
      </c>
    </row>
    <row r="23" ht="15.6" customHeight="1">
      <c r="A23" s="11">
        <f>ROW()-ROW($A$2)</f>
        <v/>
      </c>
      <c r="B23" s="7" t="inlineStr">
        <is>
          <t>Shanker Dhanji Didor</t>
        </is>
      </c>
      <c r="C23" s="12" t="n"/>
      <c r="D23" s="12" t="n"/>
      <c r="E23" s="68" t="n"/>
      <c r="F23" s="73" t="n"/>
      <c r="G23" s="73" t="n"/>
      <c r="H23" s="74">
        <f>SUM(F23:G23)</f>
        <v/>
      </c>
      <c r="I23" s="75" t="n"/>
      <c r="J23" s="76">
        <f>SUM(H23*I23)</f>
        <v/>
      </c>
      <c r="K23" s="8" t="n"/>
      <c r="L23" s="77" t="n"/>
      <c r="M23" s="13" t="n"/>
      <c r="N23" s="27" t="n"/>
      <c r="O23" s="13" t="n"/>
      <c r="P23" s="13" t="n"/>
      <c r="Q23" t="inlineStr">
        <is>
          <t>EMP-D9322813</t>
        </is>
      </c>
      <c r="R23" t="inlineStr">
        <is>
          <t>Active</t>
        </is>
      </c>
    </row>
    <row r="24" ht="15.6" customHeight="1">
      <c r="A24" s="11">
        <f>ROW()-ROW($A$2)</f>
        <v/>
      </c>
      <c r="B24" s="7" t="inlineStr">
        <is>
          <t>Ramesh Homji Didor</t>
        </is>
      </c>
      <c r="C24" s="12" t="n"/>
      <c r="D24" s="12" t="n"/>
      <c r="E24" s="68" t="n"/>
      <c r="F24" s="73" t="n"/>
      <c r="G24" s="73" t="n"/>
      <c r="H24" s="74">
        <f>SUM(F24:G24)</f>
        <v/>
      </c>
      <c r="I24" s="75" t="n"/>
      <c r="J24" s="76">
        <f>SUM(H24*I24)</f>
        <v/>
      </c>
      <c r="K24" s="8" t="n"/>
      <c r="L24" s="77" t="n"/>
      <c r="M24" s="13" t="n"/>
      <c r="N24" s="27" t="n"/>
      <c r="O24" s="13" t="n"/>
      <c r="P24" s="13" t="n"/>
      <c r="Q24" t="inlineStr">
        <is>
          <t>EMP-CE12CA58</t>
        </is>
      </c>
      <c r="R24" t="inlineStr">
        <is>
          <t>Active</t>
        </is>
      </c>
    </row>
    <row r="25" ht="15.6" customHeight="1">
      <c r="A25" s="11">
        <f>ROW()-ROW($A$2)</f>
        <v/>
      </c>
      <c r="B25" s="7" t="inlineStr">
        <is>
          <t>Bhagu Keval Katara</t>
        </is>
      </c>
      <c r="C25" s="12" t="n"/>
      <c r="D25" s="12" t="n"/>
      <c r="E25" s="68" t="n"/>
      <c r="F25" s="73" t="n"/>
      <c r="G25" s="73" t="n"/>
      <c r="H25" s="74">
        <f>SUM(F25:G25)</f>
        <v/>
      </c>
      <c r="I25" s="75" t="n"/>
      <c r="J25" s="76">
        <f>SUM(H25*I25)</f>
        <v/>
      </c>
      <c r="K25" s="8" t="n"/>
      <c r="L25" s="77" t="n"/>
      <c r="M25" s="13" t="n"/>
      <c r="N25" s="27" t="n"/>
      <c r="O25" s="13" t="n"/>
      <c r="P25" s="13" t="n"/>
      <c r="Q25" t="inlineStr">
        <is>
          <t>EMP-41773D17</t>
        </is>
      </c>
      <c r="R25" t="inlineStr">
        <is>
          <t>Active</t>
        </is>
      </c>
    </row>
    <row r="26" ht="15.6" customHeight="1">
      <c r="A26" s="11">
        <f>ROW()-ROW($A$2)</f>
        <v/>
      </c>
      <c r="B26" s="7" t="inlineStr">
        <is>
          <t>Jagdish Fula Katara</t>
        </is>
      </c>
      <c r="C26" s="12" t="n"/>
      <c r="D26" s="12" t="n"/>
      <c r="E26" s="68" t="n"/>
      <c r="F26" s="73" t="n"/>
      <c r="G26" s="73" t="n"/>
      <c r="H26" s="74">
        <f>SUM(F26:G26)</f>
        <v/>
      </c>
      <c r="I26" s="75" t="n"/>
      <c r="J26" s="76">
        <f>SUM(H26*I26)</f>
        <v/>
      </c>
      <c r="K26" s="8" t="n"/>
      <c r="L26" s="77" t="n"/>
      <c r="M26" s="13" t="n"/>
      <c r="N26" s="27" t="n"/>
      <c r="O26" s="13" t="n"/>
      <c r="P26" s="13" t="n"/>
      <c r="Q26" t="inlineStr">
        <is>
          <t>EMP-90F6264E</t>
        </is>
      </c>
      <c r="R26" t="inlineStr">
        <is>
          <t>Active</t>
        </is>
      </c>
    </row>
    <row r="27" ht="15.6" customHeight="1">
      <c r="A27" s="11">
        <f>ROW()-ROW($A$2)</f>
        <v/>
      </c>
      <c r="B27" s="7" t="inlineStr">
        <is>
          <t>Manilal Savji Katara</t>
        </is>
      </c>
      <c r="C27" s="12" t="n"/>
      <c r="D27" s="12" t="n"/>
      <c r="E27" s="68" t="n"/>
      <c r="F27" s="73" t="n"/>
      <c r="G27" s="73" t="n"/>
      <c r="H27" s="74">
        <f>SUM(F27:G27)</f>
        <v/>
      </c>
      <c r="I27" s="75" t="n"/>
      <c r="J27" s="76">
        <f>SUM(H27*I27)</f>
        <v/>
      </c>
      <c r="K27" s="8" t="n"/>
      <c r="L27" s="77" t="n"/>
      <c r="M27" s="13" t="n"/>
      <c r="N27" s="27" t="n"/>
      <c r="O27" s="13" t="n"/>
      <c r="P27" s="13" t="n"/>
      <c r="Q27" t="inlineStr">
        <is>
          <t>EMP-E0CBE475</t>
        </is>
      </c>
      <c r="R27" t="inlineStr">
        <is>
          <t>Active</t>
        </is>
      </c>
    </row>
    <row r="28" ht="15.6" customHeight="1">
      <c r="A28" s="11">
        <f>ROW()-ROW($A$2)</f>
        <v/>
      </c>
      <c r="B28" s="7" t="inlineStr">
        <is>
          <t>Naresh Kalji Didor</t>
        </is>
      </c>
      <c r="C28" s="12" t="n"/>
      <c r="D28" s="12" t="n"/>
      <c r="E28" s="68" t="n"/>
      <c r="F28" s="73" t="n"/>
      <c r="G28" s="73" t="n"/>
      <c r="H28" s="74">
        <f>SUM(F28:G28)</f>
        <v/>
      </c>
      <c r="I28" s="75" t="n"/>
      <c r="J28" s="76">
        <f>SUM(H28*I28)</f>
        <v/>
      </c>
      <c r="K28" s="8" t="n"/>
      <c r="L28" s="77" t="n"/>
      <c r="M28" s="13" t="n"/>
      <c r="N28" s="27" t="n"/>
      <c r="O28" s="13" t="n"/>
      <c r="P28" s="13" t="n"/>
      <c r="Q28" t="inlineStr">
        <is>
          <t>EMP-9131BE21</t>
        </is>
      </c>
      <c r="R28" t="inlineStr">
        <is>
          <t>Active</t>
        </is>
      </c>
    </row>
    <row r="29" ht="15.6" customHeight="1">
      <c r="A29" s="11">
        <f>ROW()-ROW($A$2)</f>
        <v/>
      </c>
      <c r="B29" s="7" t="inlineStr">
        <is>
          <t>Lokesh Nanu Didor</t>
        </is>
      </c>
      <c r="C29" s="12" t="n"/>
      <c r="D29" s="12" t="n"/>
      <c r="E29" s="68" t="n"/>
      <c r="F29" s="73" t="n"/>
      <c r="G29" s="73" t="n"/>
      <c r="H29" s="74">
        <f>SUM(F29:G29)</f>
        <v/>
      </c>
      <c r="I29" s="75" t="n"/>
      <c r="J29" s="76">
        <f>SUM(H29*I29)</f>
        <v/>
      </c>
      <c r="K29" s="8" t="n"/>
      <c r="L29" s="77" t="n"/>
      <c r="M29" s="13" t="n"/>
      <c r="N29" s="27" t="n"/>
      <c r="O29" s="13" t="n"/>
      <c r="P29" s="13" t="n"/>
      <c r="Q29" t="inlineStr">
        <is>
          <t>EMP-A6503A4F</t>
        </is>
      </c>
      <c r="R29" t="inlineStr">
        <is>
          <t>Active</t>
        </is>
      </c>
    </row>
    <row r="30" ht="15.6" customHeight="1">
      <c r="A30" s="11">
        <f>ROW()-ROW($A$2)</f>
        <v/>
      </c>
      <c r="B30" s="7" t="inlineStr">
        <is>
          <t>Mukesh Ramji Aahari</t>
        </is>
      </c>
      <c r="C30" s="12" t="n"/>
      <c r="D30" s="12" t="n"/>
      <c r="E30" s="68" t="n"/>
      <c r="F30" s="73" t="n"/>
      <c r="G30" s="73" t="n"/>
      <c r="H30" s="74">
        <f>SUM(F30:G30)</f>
        <v/>
      </c>
      <c r="I30" s="75" t="n"/>
      <c r="J30" s="76">
        <f>SUM(H30*I30)</f>
        <v/>
      </c>
      <c r="K30" s="8" t="n"/>
      <c r="L30" s="77" t="n"/>
      <c r="M30" s="13" t="n"/>
      <c r="N30" s="27" t="n"/>
      <c r="O30" s="13" t="n"/>
      <c r="P30" s="13" t="n"/>
      <c r="Q30" t="inlineStr">
        <is>
          <t>EMP-6621C1B6</t>
        </is>
      </c>
      <c r="R30" t="inlineStr">
        <is>
          <t>Active</t>
        </is>
      </c>
    </row>
    <row r="31" ht="15.6" customHeight="1">
      <c r="A31" s="11">
        <f>ROW()-ROW($A$2)</f>
        <v/>
      </c>
      <c r="B31" s="7" t="inlineStr">
        <is>
          <t>Basu Kachra Bamaniya</t>
        </is>
      </c>
      <c r="C31" s="12" t="n"/>
      <c r="D31" s="12" t="n"/>
      <c r="E31" s="68" t="n"/>
      <c r="F31" s="73" t="n"/>
      <c r="G31" s="73" t="n"/>
      <c r="H31" s="74">
        <f>SUM(F31:G31)</f>
        <v/>
      </c>
      <c r="I31" s="75" t="n"/>
      <c r="J31" s="76">
        <f>SUM(H31*I31)</f>
        <v/>
      </c>
      <c r="K31" s="8" t="n"/>
      <c r="L31" s="77" t="n"/>
      <c r="M31" s="13" t="n"/>
      <c r="N31" s="27" t="n"/>
      <c r="O31" s="13" t="n"/>
      <c r="P31" s="13" t="n"/>
      <c r="Q31" t="inlineStr">
        <is>
          <t>EMP-A9AF694F</t>
        </is>
      </c>
      <c r="R31" t="inlineStr">
        <is>
          <t>Active</t>
        </is>
      </c>
    </row>
    <row r="32" ht="15.6" customHeight="1">
      <c r="A32" s="11">
        <f>ROW()-ROW($A$2)</f>
        <v/>
      </c>
      <c r="B32" s="7" t="inlineStr">
        <is>
          <t>Rajendra Basu Bamaniya</t>
        </is>
      </c>
      <c r="C32" s="12" t="n"/>
      <c r="D32" s="12" t="n"/>
      <c r="E32" s="68" t="n"/>
      <c r="F32" s="73" t="n"/>
      <c r="G32" s="73" t="n"/>
      <c r="H32" s="74">
        <f>SUM(F32:G32)</f>
        <v/>
      </c>
      <c r="I32" s="75" t="n"/>
      <c r="J32" s="76">
        <f>SUM(H32*I32)</f>
        <v/>
      </c>
      <c r="K32" s="8" t="n"/>
      <c r="L32" s="77" t="n"/>
      <c r="M32" s="13" t="n"/>
      <c r="N32" s="27" t="n"/>
      <c r="O32" s="13" t="n"/>
      <c r="P32" s="13" t="n"/>
      <c r="Q32" t="inlineStr">
        <is>
          <t>EMP-90055E63</t>
        </is>
      </c>
      <c r="R32" t="inlineStr">
        <is>
          <t>Active</t>
        </is>
      </c>
    </row>
    <row r="33" ht="15.6" customHeight="1">
      <c r="A33" s="11">
        <f>ROW()-ROW($A$2)</f>
        <v/>
      </c>
      <c r="B33" s="7" t="inlineStr">
        <is>
          <t>Roshan Basu Bamaniya</t>
        </is>
      </c>
      <c r="C33" s="12" t="n"/>
      <c r="D33" s="12" t="n"/>
      <c r="E33" s="68" t="n"/>
      <c r="F33" s="73" t="n"/>
      <c r="G33" s="73" t="n"/>
      <c r="H33" s="74">
        <f>SUM(F33:G33)</f>
        <v/>
      </c>
      <c r="I33" s="75" t="n"/>
      <c r="J33" s="76">
        <f>SUM(H33*I33)</f>
        <v/>
      </c>
      <c r="K33" s="8" t="n"/>
      <c r="L33" s="77" t="n"/>
      <c r="M33" s="13" t="n"/>
      <c r="N33" s="27" t="n"/>
      <c r="O33" s="13" t="n"/>
      <c r="P33" s="13" t="n"/>
      <c r="Q33" t="inlineStr">
        <is>
          <t>EMP-E385CD01</t>
        </is>
      </c>
      <c r="R33" t="inlineStr">
        <is>
          <t>Active</t>
        </is>
      </c>
    </row>
    <row r="34" ht="15.6" customHeight="1">
      <c r="A34" s="11">
        <f>ROW()-ROW($A$2)</f>
        <v/>
      </c>
      <c r="B34" s="7" t="inlineStr">
        <is>
          <t>Manoj Mahipal Bamaniya</t>
        </is>
      </c>
      <c r="C34" s="12" t="n"/>
      <c r="D34" s="12" t="n"/>
      <c r="E34" s="68" t="n"/>
      <c r="F34" s="73" t="n"/>
      <c r="G34" s="73" t="n"/>
      <c r="H34" s="74">
        <f>SUM(F34:G34)</f>
        <v/>
      </c>
      <c r="I34" s="75" t="n"/>
      <c r="J34" s="76">
        <f>SUM(H34*I34)</f>
        <v/>
      </c>
      <c r="K34" s="8" t="n"/>
      <c r="L34" s="77" t="n"/>
      <c r="M34" s="13" t="n"/>
      <c r="N34" s="27" t="n"/>
      <c r="O34" s="13" t="n"/>
      <c r="P34" s="13" t="n"/>
      <c r="Q34" t="inlineStr">
        <is>
          <t>EMP-18D725C4</t>
        </is>
      </c>
      <c r="R34" t="inlineStr">
        <is>
          <t>Active</t>
        </is>
      </c>
    </row>
    <row r="35" ht="15.6" customHeight="1">
      <c r="A35" s="11">
        <f>ROW()-ROW($A$2)</f>
        <v/>
      </c>
      <c r="B35" s="7" t="inlineStr">
        <is>
          <t>Subhash Kala Bamaniya</t>
        </is>
      </c>
      <c r="C35" s="12" t="n"/>
      <c r="D35" s="12" t="n"/>
      <c r="E35" s="68" t="n"/>
      <c r="F35" s="73" t="n"/>
      <c r="G35" s="73" t="n"/>
      <c r="H35" s="74">
        <f>SUM(F35:G35)</f>
        <v/>
      </c>
      <c r="I35" s="75" t="n"/>
      <c r="J35" s="76">
        <f>SUM(H35*I35)</f>
        <v/>
      </c>
      <c r="K35" s="8" t="n"/>
      <c r="L35" s="77" t="n"/>
      <c r="M35" s="13" t="n"/>
      <c r="N35" s="27" t="n"/>
      <c r="O35" s="13" t="n"/>
      <c r="P35" s="13" t="n"/>
      <c r="Q35" t="inlineStr">
        <is>
          <t>EMP-92C1C91D</t>
        </is>
      </c>
      <c r="R35" t="inlineStr">
        <is>
          <t>Active</t>
        </is>
      </c>
    </row>
    <row r="36" ht="15.6" customHeight="1">
      <c r="A36" s="11">
        <f>ROW()-ROW($A$2)</f>
        <v/>
      </c>
      <c r="B36" s="7" t="inlineStr">
        <is>
          <t>Sanju Kalu Didoyar</t>
        </is>
      </c>
      <c r="C36" s="12" t="n"/>
      <c r="D36" s="12" t="n"/>
      <c r="E36" s="68" t="n"/>
      <c r="F36" s="73" t="n"/>
      <c r="G36" s="73" t="n"/>
      <c r="H36" s="74">
        <f>SUM(F36:G36)</f>
        <v/>
      </c>
      <c r="I36" s="75" t="n"/>
      <c r="J36" s="76">
        <f>SUM(H36*I36)</f>
        <v/>
      </c>
      <c r="K36" s="8" t="n"/>
      <c r="L36" s="77" t="n"/>
      <c r="M36" s="13" t="n"/>
      <c r="N36" s="27" t="n"/>
      <c r="O36" s="13" t="n"/>
      <c r="P36" s="13" t="n"/>
      <c r="Q36" t="inlineStr">
        <is>
          <t>EMP-DD37B1C5</t>
        </is>
      </c>
      <c r="R36" t="inlineStr">
        <is>
          <t>Active</t>
        </is>
      </c>
    </row>
    <row r="37" ht="15.6" customHeight="1">
      <c r="A37" s="11">
        <f>ROW()-ROW($A$2)</f>
        <v/>
      </c>
      <c r="B37" s="7" t="inlineStr">
        <is>
          <t>Hasmukh Basu Bamaniya</t>
        </is>
      </c>
      <c r="C37" s="12" t="n"/>
      <c r="D37" s="12" t="n"/>
      <c r="E37" s="68" t="n"/>
      <c r="F37" s="73" t="n"/>
      <c r="G37" s="73" t="n"/>
      <c r="H37" s="74">
        <f>SUM(F37:G37)</f>
        <v/>
      </c>
      <c r="I37" s="75" t="n"/>
      <c r="J37" s="76">
        <f>SUM(H37*I37)</f>
        <v/>
      </c>
      <c r="K37" s="8" t="n"/>
      <c r="L37" s="77" t="n"/>
      <c r="M37" s="13" t="n"/>
      <c r="N37" s="27" t="n"/>
      <c r="O37" s="13" t="n"/>
      <c r="P37" s="13" t="n"/>
      <c r="Q37" t="inlineStr">
        <is>
          <t>EMP-931ABAEA</t>
        </is>
      </c>
      <c r="R37" t="inlineStr">
        <is>
          <t>Active</t>
        </is>
      </c>
    </row>
    <row r="38" ht="15.6" customHeight="1">
      <c r="A38" s="11">
        <f>ROW()-ROW($A$2)</f>
        <v/>
      </c>
      <c r="B38" s="7" t="inlineStr">
        <is>
          <t>Ramesh Bhema Bamaniya</t>
        </is>
      </c>
      <c r="C38" s="12" t="n"/>
      <c r="D38" s="12" t="n"/>
      <c r="E38" s="68" t="n"/>
      <c r="F38" s="73" t="n"/>
      <c r="G38" s="73" t="n"/>
      <c r="H38" s="74">
        <f>SUM(F38:G38)</f>
        <v/>
      </c>
      <c r="I38" s="75" t="n"/>
      <c r="J38" s="76">
        <f>SUM(H38*I38)</f>
        <v/>
      </c>
      <c r="K38" s="8" t="n"/>
      <c r="L38" s="77" t="n"/>
      <c r="M38" s="13" t="n"/>
      <c r="N38" s="27" t="n"/>
      <c r="O38" s="13" t="n"/>
      <c r="P38" s="13" t="n"/>
      <c r="Q38" t="inlineStr">
        <is>
          <t>EMP-B90A5EDE</t>
        </is>
      </c>
      <c r="R38" t="inlineStr">
        <is>
          <t>Active</t>
        </is>
      </c>
    </row>
    <row r="39" ht="15.6" customHeight="1">
      <c r="A39" s="11">
        <f>ROW()-ROW($A$2)</f>
        <v/>
      </c>
      <c r="B39" s="7" t="inlineStr">
        <is>
          <t>Bhavesh Ramesh Bamaniya</t>
        </is>
      </c>
      <c r="C39" s="12" t="n"/>
      <c r="D39" s="12" t="n"/>
      <c r="E39" s="68" t="n"/>
      <c r="F39" s="73" t="n"/>
      <c r="G39" s="73" t="n"/>
      <c r="H39" s="74">
        <f>SUM(F39:G39)</f>
        <v/>
      </c>
      <c r="I39" s="75" t="n"/>
      <c r="J39" s="76">
        <f>SUM(H39*I39)</f>
        <v/>
      </c>
      <c r="K39" s="8" t="n"/>
      <c r="L39" s="77" t="n"/>
      <c r="M39" s="13" t="n"/>
      <c r="N39" s="27" t="n"/>
      <c r="O39" s="13" t="n"/>
      <c r="P39" s="13" t="n"/>
      <c r="Q39" t="inlineStr">
        <is>
          <t>EMP-0A455642</t>
        </is>
      </c>
      <c r="R39" t="inlineStr">
        <is>
          <t>Active</t>
        </is>
      </c>
    </row>
    <row r="40" ht="15.6" customHeight="1">
      <c r="A40" s="11">
        <f>ROW()-ROW($A$2)</f>
        <v/>
      </c>
      <c r="B40" s="7" t="inlineStr">
        <is>
          <t>Jagdish Kalia Damor</t>
        </is>
      </c>
      <c r="C40" s="12" t="n"/>
      <c r="D40" s="12" t="n"/>
      <c r="E40" s="68" t="n"/>
      <c r="F40" s="73" t="n"/>
      <c r="G40" s="73" t="n"/>
      <c r="H40" s="74">
        <f>SUM(F40:G40)</f>
        <v/>
      </c>
      <c r="I40" s="75" t="n"/>
      <c r="J40" s="76">
        <f>SUM(H40*I40)</f>
        <v/>
      </c>
      <c r="K40" s="8" t="n"/>
      <c r="L40" s="77" t="n"/>
      <c r="M40" s="13" t="n"/>
      <c r="N40" s="27" t="n"/>
      <c r="O40" s="13" t="n"/>
      <c r="P40" s="13" t="n"/>
      <c r="Q40" t="inlineStr">
        <is>
          <t>EMP-51988D54</t>
        </is>
      </c>
      <c r="R40" t="inlineStr">
        <is>
          <t>Active</t>
        </is>
      </c>
    </row>
    <row r="41" ht="15.6" customHeight="1">
      <c r="A41" s="11">
        <f>ROW()-ROW($A$2)</f>
        <v/>
      </c>
      <c r="B41" s="7" t="inlineStr">
        <is>
          <t>Naresh Babulal Barnda</t>
        </is>
      </c>
      <c r="C41" s="12" t="n"/>
      <c r="D41" s="12" t="n"/>
      <c r="E41" s="68" t="n"/>
      <c r="F41" s="73" t="n"/>
      <c r="G41" s="73" t="n"/>
      <c r="H41" s="74">
        <f>SUM(F41:G41)</f>
        <v/>
      </c>
      <c r="I41" s="75" t="n"/>
      <c r="J41" s="76">
        <f>SUM(H41*I41)</f>
        <v/>
      </c>
      <c r="K41" s="8" t="n"/>
      <c r="L41" s="77" t="n"/>
      <c r="M41" s="13" t="n"/>
      <c r="N41" s="27" t="n"/>
      <c r="O41" s="13" t="n"/>
      <c r="P41" s="13" t="n"/>
      <c r="Q41" t="inlineStr">
        <is>
          <t>EMP-27CE604C</t>
        </is>
      </c>
      <c r="R41" t="inlineStr">
        <is>
          <t>Active</t>
        </is>
      </c>
    </row>
    <row r="42" ht="15.6" customHeight="1">
      <c r="A42" s="11">
        <f>ROW()-ROW($A$2)</f>
        <v/>
      </c>
      <c r="B42" s="7" t="inlineStr">
        <is>
          <t>Bhanji Thavara Dodiyar</t>
        </is>
      </c>
      <c r="C42" s="12" t="n"/>
      <c r="D42" s="12" t="n"/>
      <c r="E42" s="68" t="n"/>
      <c r="F42" s="73" t="n"/>
      <c r="G42" s="73" t="n"/>
      <c r="H42" s="74">
        <f>SUM(F42:G42)</f>
        <v/>
      </c>
      <c r="I42" s="75" t="n"/>
      <c r="J42" s="76">
        <f>SUM(H42*I42)</f>
        <v/>
      </c>
      <c r="K42" s="8" t="n"/>
      <c r="L42" s="77" t="n"/>
      <c r="M42" s="13" t="n"/>
      <c r="N42" s="27" t="n"/>
      <c r="O42" s="13" t="n"/>
      <c r="P42" s="13" t="n"/>
      <c r="Q42" t="inlineStr">
        <is>
          <t>EMP-4051D98A</t>
        </is>
      </c>
      <c r="R42" t="inlineStr">
        <is>
          <t>Active</t>
        </is>
      </c>
    </row>
    <row r="43" ht="15.6" customHeight="1">
      <c r="A43" s="11">
        <f>ROW()-ROW($A$2)</f>
        <v/>
      </c>
      <c r="B43" s="7" t="inlineStr">
        <is>
          <t>Kachru Dungarlal Parghi</t>
        </is>
      </c>
      <c r="C43" s="12" t="n"/>
      <c r="D43" s="12" t="n"/>
      <c r="E43" s="68" t="n"/>
      <c r="F43" s="73" t="n"/>
      <c r="G43" s="73" t="n"/>
      <c r="H43" s="74">
        <f>SUM(F43:G43)</f>
        <v/>
      </c>
      <c r="I43" s="75" t="n"/>
      <c r="J43" s="76">
        <f>SUM(H43*I43)</f>
        <v/>
      </c>
      <c r="K43" s="8" t="n"/>
      <c r="L43" s="77" t="n"/>
      <c r="M43" s="13" t="n"/>
      <c r="N43" s="27" t="n"/>
      <c r="O43" s="13" t="n"/>
      <c r="P43" s="13" t="n"/>
      <c r="Q43" t="inlineStr">
        <is>
          <t>EMP-0BD0BACC</t>
        </is>
      </c>
      <c r="R43" t="inlineStr">
        <is>
          <t>Active</t>
        </is>
      </c>
    </row>
    <row r="44" ht="15.6" customHeight="1">
      <c r="A44" s="11">
        <f>ROW()-ROW($A$2)</f>
        <v/>
      </c>
      <c r="B44" s="7" t="inlineStr">
        <is>
          <t>Motilal Narayan Parghi</t>
        </is>
      </c>
      <c r="C44" s="12" t="n"/>
      <c r="D44" s="12" t="n"/>
      <c r="E44" s="68" t="n"/>
      <c r="F44" s="73" t="n"/>
      <c r="G44" s="73" t="n"/>
      <c r="H44" s="74">
        <f>SUM(F44:G44)</f>
        <v/>
      </c>
      <c r="I44" s="75" t="n"/>
      <c r="J44" s="76">
        <f>SUM(H44*I44)</f>
        <v/>
      </c>
      <c r="K44" s="8" t="n"/>
      <c r="L44" s="77" t="n"/>
      <c r="M44" s="13" t="n"/>
      <c r="N44" s="27" t="n"/>
      <c r="O44" s="13" t="n"/>
      <c r="P44" s="13" t="n"/>
      <c r="Q44" t="inlineStr">
        <is>
          <t>EMP-7E7E8D49</t>
        </is>
      </c>
      <c r="R44" t="inlineStr">
        <is>
          <t>Active</t>
        </is>
      </c>
    </row>
    <row r="45" ht="15.6" customHeight="1">
      <c r="A45" s="11">
        <f>ROW()-ROW($A$2)</f>
        <v/>
      </c>
      <c r="B45" s="7" t="inlineStr">
        <is>
          <t>Gaju Valaji Patel</t>
        </is>
      </c>
      <c r="C45" s="12" t="n"/>
      <c r="D45" s="12" t="n"/>
      <c r="E45" s="68" t="n"/>
      <c r="F45" s="73" t="n"/>
      <c r="G45" s="73" t="n"/>
      <c r="H45" s="74">
        <f>SUM(F45:G45)</f>
        <v/>
      </c>
      <c r="I45" s="75" t="n"/>
      <c r="J45" s="76">
        <f>SUM(H45*I45)</f>
        <v/>
      </c>
      <c r="K45" s="8" t="n"/>
      <c r="L45" s="77" t="n"/>
      <c r="M45" s="13" t="n"/>
      <c r="N45" s="27" t="n"/>
      <c r="O45" s="13" t="n"/>
      <c r="P45" s="13" t="n"/>
      <c r="Q45" t="inlineStr">
        <is>
          <t>EMP-045FB4C0</t>
        </is>
      </c>
      <c r="R45" t="inlineStr">
        <is>
          <t>Active</t>
        </is>
      </c>
    </row>
    <row r="46" ht="15.6" customHeight="1">
      <c r="A46" s="11">
        <f>ROW()-ROW($A$2)</f>
        <v/>
      </c>
      <c r="B46" s="7" t="inlineStr">
        <is>
          <t>Bhagu Dungar Parghi</t>
        </is>
      </c>
      <c r="C46" s="12" t="n"/>
      <c r="D46" s="12" t="n"/>
      <c r="E46" s="68" t="n"/>
      <c r="F46" s="73" t="n"/>
      <c r="G46" s="73" t="n"/>
      <c r="H46" s="74">
        <f>SUM(F46:G46)</f>
        <v/>
      </c>
      <c r="I46" s="75" t="n"/>
      <c r="J46" s="76">
        <f>SUM(H46*I46)</f>
        <v/>
      </c>
      <c r="K46" s="8" t="n"/>
      <c r="L46" s="77" t="n"/>
      <c r="M46" s="13" t="n"/>
      <c r="N46" s="27" t="n"/>
      <c r="O46" s="13" t="n"/>
      <c r="P46" s="13" t="n"/>
      <c r="Q46" t="inlineStr">
        <is>
          <t>EMP-FEBC1257</t>
        </is>
      </c>
      <c r="R46" t="inlineStr">
        <is>
          <t>Active</t>
        </is>
      </c>
    </row>
    <row r="47" ht="15.6" customHeight="1">
      <c r="A47" s="11">
        <f>ROW()-ROW($A$2)</f>
        <v/>
      </c>
      <c r="B47" s="7" t="inlineStr">
        <is>
          <t>Manji Ramesh Parghi</t>
        </is>
      </c>
      <c r="C47" s="12" t="n"/>
      <c r="D47" s="12" t="n"/>
      <c r="E47" s="68" t="n"/>
      <c r="F47" s="73" t="n"/>
      <c r="G47" s="73" t="n"/>
      <c r="H47" s="74">
        <f>SUM(F47:G47)</f>
        <v/>
      </c>
      <c r="I47" s="75" t="n"/>
      <c r="J47" s="76">
        <f>SUM(H47*I47)</f>
        <v/>
      </c>
      <c r="K47" s="8" t="n"/>
      <c r="L47" s="77" t="n"/>
      <c r="M47" s="13" t="n"/>
      <c r="N47" s="27" t="n"/>
      <c r="O47" s="13" t="n"/>
      <c r="P47" s="13" t="n"/>
      <c r="Q47" t="inlineStr">
        <is>
          <t>EMP-11529EA6</t>
        </is>
      </c>
      <c r="R47" t="inlineStr">
        <is>
          <t>Active</t>
        </is>
      </c>
    </row>
    <row r="48" ht="15.6" customHeight="1">
      <c r="A48" s="11">
        <f>ROW()-ROW($A$2)</f>
        <v/>
      </c>
      <c r="B48" s="7" t="inlineStr">
        <is>
          <t>Kushal Kalia Katara</t>
        </is>
      </c>
      <c r="C48" s="12" t="n"/>
      <c r="D48" s="12" t="n"/>
      <c r="E48" s="68" t="n"/>
      <c r="F48" s="73" t="n"/>
      <c r="G48" s="73" t="n"/>
      <c r="H48" s="74">
        <f>SUM(F48:G48)</f>
        <v/>
      </c>
      <c r="I48" s="75" t="n"/>
      <c r="J48" s="76">
        <f>SUM(H48*I48)</f>
        <v/>
      </c>
      <c r="K48" s="8" t="n"/>
      <c r="L48" s="77" t="n"/>
      <c r="M48" s="13" t="n"/>
      <c r="N48" s="27" t="n"/>
      <c r="O48" s="13" t="n"/>
      <c r="P48" s="13" t="n"/>
      <c r="Q48" t="inlineStr">
        <is>
          <t>EMP-FB28601D</t>
        </is>
      </c>
      <c r="R48" t="inlineStr">
        <is>
          <t>Active</t>
        </is>
      </c>
    </row>
    <row r="49" ht="15.6" customHeight="1">
      <c r="A49" s="11">
        <f>ROW()-ROW($A$2)</f>
        <v/>
      </c>
      <c r="B49" s="7" t="inlineStr">
        <is>
          <t>Vinod Shankerbhai Nanoma</t>
        </is>
      </c>
      <c r="C49" s="12" t="n"/>
      <c r="D49" s="12" t="n"/>
      <c r="E49" s="68" t="n"/>
      <c r="F49" s="73" t="n"/>
      <c r="G49" s="73" t="n"/>
      <c r="H49" s="74">
        <f>SUM(F49:G49)</f>
        <v/>
      </c>
      <c r="I49" s="75" t="n"/>
      <c r="J49" s="76">
        <f>SUM(H49*I49)</f>
        <v/>
      </c>
      <c r="K49" s="8" t="n"/>
      <c r="L49" s="77" t="n"/>
      <c r="M49" s="13" t="n"/>
      <c r="N49" s="27" t="n"/>
      <c r="O49" s="13" t="n"/>
      <c r="P49" s="13" t="n"/>
      <c r="Q49" t="inlineStr">
        <is>
          <t>EMP-A9E8B707</t>
        </is>
      </c>
      <c r="R49" t="inlineStr">
        <is>
          <t>Active</t>
        </is>
      </c>
    </row>
    <row r="50" ht="15.6" customHeight="1">
      <c r="A50" s="11">
        <f>ROW()-ROW($A$2)</f>
        <v/>
      </c>
      <c r="B50" s="7" t="inlineStr">
        <is>
          <t>Vinod Khemji Nanoma</t>
        </is>
      </c>
      <c r="C50" s="12" t="n"/>
      <c r="D50" s="12" t="n"/>
      <c r="E50" s="68" t="n"/>
      <c r="F50" s="73" t="n"/>
      <c r="G50" s="73" t="n"/>
      <c r="H50" s="74">
        <f>SUM(F50:G50)</f>
        <v/>
      </c>
      <c r="I50" s="75" t="n"/>
      <c r="J50" s="76">
        <f>SUM(H50*I50)</f>
        <v/>
      </c>
      <c r="K50" s="8" t="n"/>
      <c r="L50" s="77" t="n"/>
      <c r="M50" s="13" t="n"/>
      <c r="N50" s="27" t="n"/>
      <c r="O50" s="13" t="n"/>
      <c r="P50" s="13" t="n"/>
      <c r="Q50" t="inlineStr">
        <is>
          <t>EMP-02AA3859</t>
        </is>
      </c>
      <c r="R50" t="inlineStr">
        <is>
          <t>Active</t>
        </is>
      </c>
    </row>
    <row r="51" ht="15.6" customHeight="1">
      <c r="A51" s="11">
        <f>ROW()-ROW($A$2)</f>
        <v/>
      </c>
      <c r="B51" s="7" t="inlineStr">
        <is>
          <t>Ashish Naran Dodiyar</t>
        </is>
      </c>
      <c r="C51" s="12" t="n"/>
      <c r="D51" s="12" t="n"/>
      <c r="E51" s="68" t="n"/>
      <c r="F51" s="73" t="n"/>
      <c r="G51" s="73" t="n"/>
      <c r="H51" s="74">
        <f>SUM(F51:G51)</f>
        <v/>
      </c>
      <c r="I51" s="75" t="n"/>
      <c r="J51" s="76">
        <f>SUM(H51*I51)</f>
        <v/>
      </c>
      <c r="K51" s="8" t="n"/>
      <c r="L51" s="77" t="n"/>
      <c r="M51" s="13" t="n"/>
      <c r="N51" s="27" t="n"/>
      <c r="O51" s="13" t="n"/>
      <c r="P51" s="13" t="n"/>
      <c r="Q51" t="inlineStr">
        <is>
          <t>EMP-416E234D</t>
        </is>
      </c>
      <c r="R51" t="inlineStr">
        <is>
          <t>Active</t>
        </is>
      </c>
    </row>
    <row r="52" ht="15.6" customHeight="1">
      <c r="A52" s="11">
        <f>ROW()-ROW($A$2)</f>
        <v/>
      </c>
      <c r="B52" s="7" t="inlineStr">
        <is>
          <t>Pravin Pujilal Katara</t>
        </is>
      </c>
      <c r="C52" s="12" t="n"/>
      <c r="D52" s="12" t="n"/>
      <c r="E52" s="68" t="n"/>
      <c r="F52" s="73" t="n"/>
      <c r="G52" s="73" t="n"/>
      <c r="H52" s="74">
        <f>SUM(F52:G52)</f>
        <v/>
      </c>
      <c r="I52" s="75" t="n"/>
      <c r="J52" s="76">
        <f>SUM(H52*I52)</f>
        <v/>
      </c>
      <c r="K52" s="8" t="n"/>
      <c r="L52" s="77" t="n"/>
      <c r="M52" s="13" t="n"/>
      <c r="N52" s="27" t="n"/>
      <c r="O52" s="13" t="n"/>
      <c r="P52" s="13" t="n"/>
      <c r="Q52" t="inlineStr">
        <is>
          <t>EMP-F8E8594A</t>
        </is>
      </c>
      <c r="R52" t="inlineStr">
        <is>
          <t>Active</t>
        </is>
      </c>
    </row>
    <row r="53" ht="15.6" customHeight="1">
      <c r="A53" s="11">
        <f>ROW()-ROW($A$2)</f>
        <v/>
      </c>
      <c r="B53" s="7" t="inlineStr">
        <is>
          <t>Lakhan Kalia Nanoma</t>
        </is>
      </c>
      <c r="C53" s="12" t="n"/>
      <c r="D53" s="12" t="n"/>
      <c r="E53" s="68" t="n"/>
      <c r="F53" s="73" t="n"/>
      <c r="G53" s="73" t="n"/>
      <c r="H53" s="74">
        <f>SUM(F53:G53)</f>
        <v/>
      </c>
      <c r="I53" s="75" t="n"/>
      <c r="J53" s="76">
        <f>SUM(H53*I53)</f>
        <v/>
      </c>
      <c r="K53" s="8" t="n"/>
      <c r="L53" s="77" t="n"/>
      <c r="M53" s="13" t="n"/>
      <c r="N53" s="27" t="n"/>
      <c r="O53" s="13" t="n"/>
      <c r="P53" s="13" t="n"/>
      <c r="Q53" t="inlineStr">
        <is>
          <t>EMP-3ABB75B8</t>
        </is>
      </c>
      <c r="R53" t="inlineStr">
        <is>
          <t>Active</t>
        </is>
      </c>
    </row>
    <row r="54" ht="15.6" customHeight="1">
      <c r="A54" s="11">
        <f>ROW()-ROW($A$2)</f>
        <v/>
      </c>
      <c r="B54" s="7" t="inlineStr">
        <is>
          <t>Arjun Dinesh Nanoma</t>
        </is>
      </c>
      <c r="C54" s="12" t="n"/>
      <c r="D54" s="12" t="n"/>
      <c r="E54" s="68" t="n"/>
      <c r="F54" s="73" t="n"/>
      <c r="G54" s="73" t="n"/>
      <c r="H54" s="74">
        <f>SUM(F54:G54)</f>
        <v/>
      </c>
      <c r="I54" s="75" t="n"/>
      <c r="J54" s="76">
        <f>SUM(H54*I54)</f>
        <v/>
      </c>
      <c r="K54" s="8" t="n"/>
      <c r="L54" s="77" t="n"/>
      <c r="M54" s="13" t="n"/>
      <c r="N54" s="27" t="n"/>
      <c r="O54" s="13" t="n"/>
      <c r="P54" s="13" t="n"/>
      <c r="Q54" t="inlineStr">
        <is>
          <t>EMP-D149B10A</t>
        </is>
      </c>
      <c r="R54" t="inlineStr">
        <is>
          <t>Active</t>
        </is>
      </c>
    </row>
    <row r="55" ht="15.6" customHeight="1">
      <c r="A55" s="11">
        <f>ROW()-ROW($A$2)</f>
        <v/>
      </c>
      <c r="B55" s="7" t="inlineStr">
        <is>
          <t>Raju Ramesh Kharadi</t>
        </is>
      </c>
      <c r="C55" s="12" t="n"/>
      <c r="D55" s="12" t="n"/>
      <c r="E55" s="68" t="n"/>
      <c r="F55" s="73" t="n"/>
      <c r="G55" s="73" t="n"/>
      <c r="H55" s="74">
        <f>SUM(F55:G55)</f>
        <v/>
      </c>
      <c r="I55" s="75" t="n"/>
      <c r="J55" s="76">
        <f>SUM(H55*I55)</f>
        <v/>
      </c>
      <c r="K55" s="8" t="n"/>
      <c r="L55" s="77" t="n"/>
      <c r="M55" s="13" t="n"/>
      <c r="N55" s="27" t="n"/>
      <c r="O55" s="13" t="n"/>
      <c r="P55" s="13" t="n"/>
      <c r="Q55" t="inlineStr">
        <is>
          <t>EMP-59584C82</t>
        </is>
      </c>
      <c r="R55" t="inlineStr">
        <is>
          <t>Active</t>
        </is>
      </c>
    </row>
    <row r="56" ht="15.6" customHeight="1">
      <c r="A56" s="11">
        <f>ROW()-ROW($A$2)</f>
        <v/>
      </c>
      <c r="B56" s="7" t="inlineStr">
        <is>
          <t>Mayur Mahendrabhai Nanoma</t>
        </is>
      </c>
      <c r="C56" s="12" t="n"/>
      <c r="D56" s="12" t="n"/>
      <c r="E56" s="68" t="n"/>
      <c r="F56" s="73" t="n"/>
      <c r="G56" s="73" t="n"/>
      <c r="H56" s="74">
        <f>SUM(F56:G56)</f>
        <v/>
      </c>
      <c r="I56" s="75" t="n"/>
      <c r="J56" s="76">
        <f>SUM(H56*I56)</f>
        <v/>
      </c>
      <c r="K56" s="8" t="n"/>
      <c r="L56" s="77" t="n"/>
      <c r="M56" s="13" t="n"/>
      <c r="N56" s="27" t="n"/>
      <c r="O56" s="13" t="n"/>
      <c r="P56" s="13" t="n"/>
      <c r="Q56" t="inlineStr">
        <is>
          <t>EMP-E10C6850</t>
        </is>
      </c>
      <c r="R56" t="inlineStr">
        <is>
          <t>Active</t>
        </is>
      </c>
    </row>
    <row r="57" ht="15.6" customHeight="1">
      <c r="A57" s="11">
        <f>ROW()-ROW($A$2)</f>
        <v/>
      </c>
      <c r="B57" s="7" t="inlineStr">
        <is>
          <t>Lokesh Narayanbhai Damor</t>
        </is>
      </c>
      <c r="C57" s="12" t="n"/>
      <c r="D57" s="12" t="n"/>
      <c r="E57" s="68" t="n"/>
      <c r="F57" s="73" t="n"/>
      <c r="G57" s="73" t="n"/>
      <c r="H57" s="74">
        <f>SUM(F57:G57)</f>
        <v/>
      </c>
      <c r="I57" s="75" t="n"/>
      <c r="J57" s="76">
        <f>SUM(H57*I57)</f>
        <v/>
      </c>
      <c r="K57" s="8" t="n"/>
      <c r="L57" s="77" t="n"/>
      <c r="M57" s="13" t="n"/>
      <c r="N57" s="27" t="n"/>
      <c r="O57" s="13" t="n"/>
      <c r="P57" s="13" t="n"/>
      <c r="Q57" t="inlineStr">
        <is>
          <t>EMP-D076ECB9</t>
        </is>
      </c>
      <c r="R57" t="inlineStr">
        <is>
          <t>Active</t>
        </is>
      </c>
    </row>
    <row r="58" ht="15.6" customHeight="1">
      <c r="A58" s="11">
        <f>ROW()-ROW($A$2)</f>
        <v/>
      </c>
      <c r="B58" s="7" t="inlineStr">
        <is>
          <t>Pankaj Lilaram Aahari</t>
        </is>
      </c>
      <c r="C58" s="12" t="n"/>
      <c r="D58" s="12" t="n"/>
      <c r="E58" s="68" t="n"/>
      <c r="F58" s="73" t="n"/>
      <c r="G58" s="73" t="n"/>
      <c r="H58" s="74">
        <f>SUM(F58:G58)</f>
        <v/>
      </c>
      <c r="I58" s="75" t="n"/>
      <c r="J58" s="76">
        <f>SUM(H58*I58)</f>
        <v/>
      </c>
      <c r="K58" s="8" t="n"/>
      <c r="L58" s="77" t="n"/>
      <c r="M58" s="13" t="n"/>
      <c r="N58" s="27" t="n"/>
      <c r="O58" s="13" t="n"/>
      <c r="P58" s="13" t="n"/>
      <c r="Q58" t="inlineStr">
        <is>
          <t>EMP-C0C5CC9C</t>
        </is>
      </c>
      <c r="R58" t="inlineStr">
        <is>
          <t>Active</t>
        </is>
      </c>
    </row>
    <row r="59" ht="15.6" customHeight="1">
      <c r="A59" s="11">
        <f>ROW()-ROW($A$2)</f>
        <v/>
      </c>
      <c r="B59" s="7" t="inlineStr">
        <is>
          <t>Ashish Nareshbhai Nanoma</t>
        </is>
      </c>
      <c r="C59" s="12" t="n"/>
      <c r="D59" s="12" t="n"/>
      <c r="E59" s="68" t="n"/>
      <c r="F59" s="73" t="n"/>
      <c r="G59" s="73" t="n"/>
      <c r="H59" s="74">
        <f>SUM(F59:G59)</f>
        <v/>
      </c>
      <c r="I59" s="75" t="n"/>
      <c r="J59" s="76">
        <f>SUM(H59*I59)</f>
        <v/>
      </c>
      <c r="K59" s="8" t="n"/>
      <c r="L59" s="77" t="n"/>
      <c r="M59" s="13" t="n"/>
      <c r="N59" s="27" t="n"/>
      <c r="O59" s="13" t="n"/>
      <c r="P59" s="13" t="n"/>
      <c r="Q59" t="inlineStr">
        <is>
          <t>EMP-2A585DB9</t>
        </is>
      </c>
      <c r="R59" t="inlineStr">
        <is>
          <t>Active</t>
        </is>
      </c>
    </row>
    <row r="60" ht="15.6" customHeight="1">
      <c r="A60" s="11">
        <f>ROW()-ROW($A$2)</f>
        <v/>
      </c>
      <c r="B60" s="7" t="inlineStr">
        <is>
          <t>Jitendra Sukhlal Aahari</t>
        </is>
      </c>
      <c r="C60" s="12" t="n"/>
      <c r="D60" s="12" t="n"/>
      <c r="E60" s="68" t="n"/>
      <c r="F60" s="73" t="n"/>
      <c r="G60" s="73" t="n"/>
      <c r="H60" s="74">
        <f>SUM(F60:G60)</f>
        <v/>
      </c>
      <c r="I60" s="75" t="n"/>
      <c r="J60" s="76">
        <f>SUM(H60*I60)</f>
        <v/>
      </c>
      <c r="K60" s="8" t="n"/>
      <c r="L60" s="77" t="n"/>
      <c r="M60" s="13" t="n"/>
      <c r="N60" s="27" t="n"/>
      <c r="O60" s="13" t="n"/>
      <c r="P60" s="13" t="n"/>
      <c r="Q60" t="inlineStr">
        <is>
          <t>EMP-3AF238ED</t>
        </is>
      </c>
      <c r="R60" t="inlineStr">
        <is>
          <t>Active</t>
        </is>
      </c>
    </row>
    <row r="61" ht="15.6" customHeight="1">
      <c r="A61" s="11">
        <f>ROW()-ROW($A$2)</f>
        <v/>
      </c>
      <c r="B61" s="7" t="n"/>
      <c r="C61" s="12" t="n"/>
      <c r="D61" s="12" t="n"/>
      <c r="E61" s="68" t="n"/>
      <c r="F61" s="73" t="n"/>
      <c r="G61" s="73" t="n"/>
      <c r="H61" s="74">
        <f>SUM(F61:G61)</f>
        <v/>
      </c>
      <c r="I61" s="75" t="n"/>
      <c r="J61" s="76">
        <f>SUM(H61*I61)</f>
        <v/>
      </c>
      <c r="K61" s="8" t="n"/>
      <c r="L61" s="77" t="n"/>
      <c r="M61" s="13" t="n"/>
      <c r="N61" s="27" t="n"/>
      <c r="O61" s="13" t="n"/>
      <c r="P61" s="13" t="n"/>
    </row>
    <row r="62" ht="15.6" customHeight="1">
      <c r="A62" s="11">
        <f>ROW()-ROW($A$2)</f>
        <v/>
      </c>
      <c r="B62" s="7" t="n"/>
      <c r="C62" s="12" t="n"/>
      <c r="D62" s="12" t="n"/>
      <c r="E62" s="68" t="n"/>
      <c r="F62" s="73" t="n"/>
      <c r="G62" s="73" t="n"/>
      <c r="H62" s="74">
        <f>SUM(F62:G62)</f>
        <v/>
      </c>
      <c r="I62" s="75" t="n"/>
      <c r="J62" s="76">
        <f>SUM(H62*I62)</f>
        <v/>
      </c>
      <c r="K62" s="8" t="n"/>
      <c r="L62" s="77" t="n"/>
      <c r="M62" s="13" t="n"/>
      <c r="N62" s="27" t="n"/>
      <c r="O62" s="13" t="n"/>
      <c r="P62" s="13" t="n"/>
    </row>
    <row r="63" ht="15.6" customHeight="1">
      <c r="A63" s="11">
        <f>ROW()-ROW($A$2)</f>
        <v/>
      </c>
      <c r="B63" s="7" t="n"/>
      <c r="C63" s="12" t="n"/>
      <c r="D63" s="12" t="n"/>
      <c r="E63" s="68" t="n"/>
      <c r="F63" s="73" t="n"/>
      <c r="G63" s="73" t="n"/>
      <c r="H63" s="74">
        <f>SUM(F63:G63)</f>
        <v/>
      </c>
      <c r="I63" s="75" t="n"/>
      <c r="J63" s="76">
        <f>SUM(H63*I63)</f>
        <v/>
      </c>
      <c r="K63" s="8" t="n"/>
      <c r="L63" s="77" t="n"/>
      <c r="M63" s="13" t="n"/>
      <c r="N63" s="27" t="n"/>
      <c r="O63" s="13" t="n"/>
      <c r="P63" s="13" t="n"/>
    </row>
    <row r="64" ht="15.6" customHeight="1">
      <c r="A64" s="11">
        <f>ROW()-ROW($A$2)</f>
        <v/>
      </c>
      <c r="B64" s="7" t="n"/>
      <c r="C64" s="12" t="n"/>
      <c r="D64" s="12" t="n"/>
      <c r="E64" s="68" t="n"/>
      <c r="F64" s="73" t="n"/>
      <c r="G64" s="73" t="n"/>
      <c r="H64" s="74">
        <f>SUM(F64:G64)</f>
        <v/>
      </c>
      <c r="I64" s="75" t="n"/>
      <c r="J64" s="76">
        <f>SUM(H64*I64)</f>
        <v/>
      </c>
      <c r="K64" s="8" t="n"/>
      <c r="L64" s="77" t="n"/>
      <c r="M64" s="13" t="n"/>
      <c r="N64" s="27" t="n"/>
      <c r="O64" s="13" t="n"/>
      <c r="P64" s="13" t="n"/>
    </row>
    <row r="65" ht="15.6" customHeight="1">
      <c r="A65" s="11">
        <f>ROW()-ROW($A$2)</f>
        <v/>
      </c>
      <c r="B65" s="7" t="n"/>
      <c r="C65" s="12" t="n"/>
      <c r="D65" s="12" t="n"/>
      <c r="E65" s="68" t="n"/>
      <c r="F65" s="73" t="n"/>
      <c r="G65" s="73" t="n"/>
      <c r="H65" s="74">
        <f>SUM(F65:G65)</f>
        <v/>
      </c>
      <c r="I65" s="75" t="n"/>
      <c r="J65" s="76">
        <f>SUM(H65*I65)</f>
        <v/>
      </c>
      <c r="K65" s="8" t="n"/>
      <c r="L65" s="77" t="n"/>
      <c r="M65" s="13" t="n"/>
      <c r="N65" s="27" t="n"/>
      <c r="O65" s="13" t="n"/>
      <c r="P65" s="13" t="n"/>
    </row>
    <row r="66" ht="15.6" customHeight="1">
      <c r="A66" s="11">
        <f>ROW()-ROW($A$2)</f>
        <v/>
      </c>
      <c r="B66" s="7" t="n"/>
      <c r="C66" s="12" t="n"/>
      <c r="D66" s="12" t="n"/>
      <c r="E66" s="68" t="n"/>
      <c r="F66" s="73" t="n"/>
      <c r="G66" s="73" t="n"/>
      <c r="H66" s="74">
        <f>SUM(F66:G66)</f>
        <v/>
      </c>
      <c r="I66" s="75" t="n"/>
      <c r="J66" s="76">
        <f>SUM(H66*I66)</f>
        <v/>
      </c>
      <c r="K66" s="8" t="n"/>
      <c r="L66" s="77" t="n"/>
      <c r="M66" s="13" t="n"/>
      <c r="N66" s="27" t="n"/>
      <c r="O66" s="13" t="n"/>
      <c r="P66" s="13" t="n"/>
    </row>
    <row r="67" ht="15.6" customHeight="1">
      <c r="A67" s="11">
        <f>ROW()-ROW($A$2)</f>
        <v/>
      </c>
      <c r="B67" s="7" t="n"/>
      <c r="C67" s="12" t="n"/>
      <c r="D67" s="12" t="n"/>
      <c r="E67" s="68" t="n"/>
      <c r="F67" s="73" t="n"/>
      <c r="G67" s="73" t="n"/>
      <c r="H67" s="74">
        <f>SUM(F67:G67)</f>
        <v/>
      </c>
      <c r="I67" s="75" t="n"/>
      <c r="J67" s="76">
        <f>SUM(H67*I67)</f>
        <v/>
      </c>
      <c r="K67" s="8" t="n"/>
      <c r="L67" s="77" t="n"/>
      <c r="M67" s="13" t="n"/>
      <c r="N67" s="27" t="n"/>
      <c r="O67" s="13" t="n"/>
      <c r="P67" s="13" t="n"/>
    </row>
    <row r="68" ht="15.6" customHeight="1">
      <c r="A68" s="11">
        <f>ROW()-ROW($A$2)</f>
        <v/>
      </c>
      <c r="B68" s="7" t="n"/>
      <c r="C68" s="12" t="n"/>
      <c r="D68" s="12" t="n"/>
      <c r="E68" s="68" t="n"/>
      <c r="F68" s="73" t="n"/>
      <c r="G68" s="73" t="n"/>
      <c r="H68" s="74">
        <f>SUM(F68:G68)</f>
        <v/>
      </c>
      <c r="I68" s="75" t="n"/>
      <c r="J68" s="76">
        <f>SUM(H68*I68)</f>
        <v/>
      </c>
      <c r="K68" s="8" t="n"/>
      <c r="L68" s="77" t="n"/>
      <c r="M68" s="13" t="n"/>
      <c r="N68" s="27" t="n"/>
      <c r="O68" s="13" t="n"/>
      <c r="P68" s="13" t="n"/>
    </row>
    <row r="69" ht="15.6" customHeight="1">
      <c r="A69" s="11">
        <f>ROW()-ROW($A$2)</f>
        <v/>
      </c>
      <c r="B69" s="7" t="n"/>
      <c r="C69" s="12" t="n"/>
      <c r="D69" s="12" t="n"/>
      <c r="E69" s="68" t="n"/>
      <c r="F69" s="73" t="n"/>
      <c r="G69" s="73" t="n"/>
      <c r="H69" s="74">
        <f>SUM(F69:G69)</f>
        <v/>
      </c>
      <c r="I69" s="75" t="n"/>
      <c r="J69" s="76">
        <f>SUM(H69*I69)</f>
        <v/>
      </c>
      <c r="K69" s="8" t="n"/>
      <c r="L69" s="77" t="n"/>
      <c r="M69" s="13" t="n"/>
      <c r="N69" s="27" t="n"/>
      <c r="O69" s="13" t="n"/>
      <c r="P69" s="13" t="n"/>
    </row>
    <row r="70" ht="15.6" customHeight="1">
      <c r="A70" s="11">
        <f>ROW()-ROW($A$2)</f>
        <v/>
      </c>
      <c r="B70" s="7" t="n"/>
      <c r="C70" s="12" t="n"/>
      <c r="D70" s="12" t="n"/>
      <c r="E70" s="68" t="n"/>
      <c r="F70" s="73" t="n"/>
      <c r="G70" s="73" t="n"/>
      <c r="H70" s="74">
        <f>SUM(F70:G70)</f>
        <v/>
      </c>
      <c r="I70" s="75" t="n"/>
      <c r="J70" s="76">
        <f>SUM(H70*I70)</f>
        <v/>
      </c>
      <c r="K70" s="8" t="n"/>
      <c r="L70" s="77" t="n"/>
      <c r="M70" s="13" t="n"/>
      <c r="N70" s="27" t="n"/>
      <c r="O70" s="13" t="n"/>
      <c r="P70" s="13" t="n"/>
    </row>
    <row r="71" ht="15.6" customHeight="1">
      <c r="A71" s="11">
        <f>ROW()-ROW($A$2)</f>
        <v/>
      </c>
      <c r="B71" s="7" t="n"/>
      <c r="C71" s="12" t="n"/>
      <c r="D71" s="12" t="n"/>
      <c r="E71" s="68" t="n"/>
      <c r="F71" s="73" t="n"/>
      <c r="G71" s="73" t="n"/>
      <c r="H71" s="74">
        <f>SUM(F71:G71)</f>
        <v/>
      </c>
      <c r="I71" s="75" t="n"/>
      <c r="J71" s="76">
        <f>SUM(H71*I71)</f>
        <v/>
      </c>
      <c r="K71" s="8" t="n"/>
      <c r="L71" s="77" t="n"/>
      <c r="M71" s="13" t="n"/>
      <c r="N71" s="27" t="n"/>
      <c r="O71" s="13" t="n"/>
      <c r="P71" s="13" t="n"/>
    </row>
    <row r="72" ht="15.6" customHeight="1">
      <c r="A72" s="11">
        <f>ROW()-ROW($A$2)</f>
        <v/>
      </c>
      <c r="B72" s="7" t="n"/>
      <c r="C72" s="12" t="n"/>
      <c r="D72" s="12" t="n"/>
      <c r="E72" s="68" t="n"/>
      <c r="F72" s="73" t="n"/>
      <c r="G72" s="73" t="n"/>
      <c r="H72" s="74">
        <f>SUM(F72:G72)</f>
        <v/>
      </c>
      <c r="I72" s="75" t="n"/>
      <c r="J72" s="76">
        <f>SUM(H72*I72)</f>
        <v/>
      </c>
      <c r="K72" s="8" t="n"/>
      <c r="L72" s="77" t="n"/>
      <c r="M72" s="13" t="n"/>
      <c r="N72" s="27" t="n"/>
      <c r="O72" s="13" t="n"/>
      <c r="P72" s="13" t="n"/>
    </row>
    <row r="73" ht="15.6" customHeight="1">
      <c r="A73" s="11">
        <f>ROW()-ROW($A$2)</f>
        <v/>
      </c>
      <c r="B73" s="7" t="n"/>
      <c r="C73" s="12" t="n"/>
      <c r="D73" s="12" t="n"/>
      <c r="E73" s="68" t="n"/>
      <c r="F73" s="73" t="n"/>
      <c r="G73" s="73" t="n"/>
      <c r="H73" s="74">
        <f>SUM(F73:G73)</f>
        <v/>
      </c>
      <c r="I73" s="75" t="n"/>
      <c r="J73" s="76">
        <f>SUM(H73*I73)</f>
        <v/>
      </c>
      <c r="K73" s="8" t="n"/>
      <c r="L73" s="77" t="n"/>
      <c r="M73" s="13" t="n"/>
      <c r="N73" s="27" t="n"/>
      <c r="O73" s="13" t="n"/>
      <c r="P73" s="13" t="n"/>
    </row>
    <row r="74" ht="15.6" customHeight="1">
      <c r="A74" s="11">
        <f>ROW()-ROW($A$2)</f>
        <v/>
      </c>
      <c r="B74" s="7" t="n"/>
      <c r="C74" s="12" t="n"/>
      <c r="D74" s="12" t="n"/>
      <c r="E74" s="68" t="n"/>
      <c r="F74" s="73" t="n"/>
      <c r="G74" s="73" t="n"/>
      <c r="H74" s="74">
        <f>SUM(F74:G74)</f>
        <v/>
      </c>
      <c r="I74" s="75" t="n"/>
      <c r="J74" s="76">
        <f>SUM(H74*I74)</f>
        <v/>
      </c>
      <c r="K74" s="8" t="n"/>
      <c r="L74" s="77" t="n"/>
      <c r="M74" s="13" t="n"/>
      <c r="N74" s="27" t="n"/>
      <c r="O74" s="13" t="n"/>
      <c r="P74" s="13" t="n"/>
    </row>
    <row r="75" ht="15.6" customHeight="1">
      <c r="A75" s="11">
        <f>ROW()-ROW($A$2)</f>
        <v/>
      </c>
      <c r="B75" s="7" t="n"/>
      <c r="C75" s="12" t="n"/>
      <c r="D75" s="12" t="n"/>
      <c r="E75" s="68" t="n"/>
      <c r="F75" s="73" t="n"/>
      <c r="G75" s="73" t="n"/>
      <c r="H75" s="74">
        <f>SUM(F75:G75)</f>
        <v/>
      </c>
      <c r="I75" s="75" t="n"/>
      <c r="J75" s="76">
        <f>SUM(H75*I75)</f>
        <v/>
      </c>
      <c r="K75" s="8" t="n"/>
      <c r="L75" s="77" t="n"/>
      <c r="M75" s="13" t="n"/>
      <c r="N75" s="27" t="n"/>
      <c r="O75" s="13" t="n"/>
      <c r="P75" s="13" t="n"/>
    </row>
    <row r="76" ht="15.6" customHeight="1">
      <c r="A76" s="11">
        <f>ROW()-ROW($A$2)</f>
        <v/>
      </c>
      <c r="B76" s="7" t="n"/>
      <c r="C76" s="12" t="n"/>
      <c r="D76" s="12" t="n"/>
      <c r="E76" s="68" t="n"/>
      <c r="F76" s="73" t="n"/>
      <c r="G76" s="73" t="n"/>
      <c r="H76" s="74">
        <f>SUM(F76:G76)</f>
        <v/>
      </c>
      <c r="I76" s="75" t="n"/>
      <c r="J76" s="76">
        <f>SUM(H76*I76)</f>
        <v/>
      </c>
      <c r="K76" s="8" t="n"/>
      <c r="L76" s="77" t="n"/>
      <c r="M76" s="13" t="n"/>
      <c r="N76" s="27" t="n"/>
      <c r="O76" s="13" t="n"/>
      <c r="P76" s="13" t="n"/>
    </row>
    <row r="77" ht="15.6" customHeight="1">
      <c r="A77" s="11">
        <f>ROW()-ROW($A$2)</f>
        <v/>
      </c>
      <c r="B77" s="7" t="n"/>
      <c r="C77" s="12" t="n"/>
      <c r="D77" s="12" t="n"/>
      <c r="E77" s="68" t="n"/>
      <c r="F77" s="73" t="n"/>
      <c r="G77" s="73" t="n"/>
      <c r="H77" s="74">
        <f>SUM(F77:G77)</f>
        <v/>
      </c>
      <c r="I77" s="75" t="n"/>
      <c r="J77" s="76">
        <f>SUM(H77*I77)</f>
        <v/>
      </c>
      <c r="K77" s="8" t="n"/>
      <c r="L77" s="77" t="n"/>
      <c r="M77" s="13" t="n"/>
      <c r="N77" s="27" t="n"/>
      <c r="O77" s="13" t="n"/>
      <c r="P77" s="13" t="n"/>
    </row>
    <row r="78" ht="15.6" customHeight="1">
      <c r="A78" s="11">
        <f>ROW()-ROW($A$2)</f>
        <v/>
      </c>
      <c r="B78" s="7" t="n"/>
      <c r="C78" s="12" t="n"/>
      <c r="D78" s="12" t="n"/>
      <c r="E78" s="68" t="n"/>
      <c r="F78" s="73" t="n"/>
      <c r="G78" s="73" t="n"/>
      <c r="H78" s="74">
        <f>SUM(F78:G78)</f>
        <v/>
      </c>
      <c r="I78" s="75" t="n"/>
      <c r="J78" s="76">
        <f>SUM(H78*I78)</f>
        <v/>
      </c>
      <c r="K78" s="8" t="n"/>
      <c r="L78" s="77" t="n"/>
      <c r="M78" s="13" t="n"/>
      <c r="N78" s="27" t="n"/>
      <c r="O78" s="13" t="n"/>
      <c r="P78" s="13" t="n"/>
    </row>
    <row r="79" ht="15.6" customHeight="1">
      <c r="A79" s="11">
        <f>ROW()-ROW($A$2)</f>
        <v/>
      </c>
      <c r="B79" s="7" t="n"/>
      <c r="C79" s="12" t="n"/>
      <c r="D79" s="12" t="n"/>
      <c r="E79" s="68" t="n"/>
      <c r="F79" s="73" t="n"/>
      <c r="G79" s="73" t="n"/>
      <c r="H79" s="74">
        <f>SUM(F79:G79)</f>
        <v/>
      </c>
      <c r="I79" s="75" t="n"/>
      <c r="J79" s="76">
        <f>SUM(H79*I79)</f>
        <v/>
      </c>
      <c r="K79" s="8" t="n"/>
      <c r="L79" s="77" t="n"/>
      <c r="M79" s="13" t="n"/>
      <c r="N79" s="27" t="n"/>
      <c r="O79" s="13" t="n"/>
      <c r="P79" s="13" t="n"/>
    </row>
    <row r="80" ht="15.6" customHeight="1">
      <c r="A80" s="11">
        <f>ROW()-ROW($A$2)</f>
        <v/>
      </c>
      <c r="B80" s="7" t="n"/>
      <c r="C80" s="12" t="n"/>
      <c r="D80" s="12" t="n"/>
      <c r="E80" s="68" t="n"/>
      <c r="F80" s="73" t="n"/>
      <c r="G80" s="73" t="n"/>
      <c r="H80" s="74">
        <f>SUM(F80:G80)</f>
        <v/>
      </c>
      <c r="I80" s="75" t="n"/>
      <c r="J80" s="76">
        <f>SUM(H80*I80)</f>
        <v/>
      </c>
      <c r="K80" s="8" t="n"/>
      <c r="L80" s="77" t="n"/>
      <c r="M80" s="13" t="n"/>
      <c r="N80" s="27" t="n"/>
      <c r="O80" s="13" t="n"/>
      <c r="P80" s="13" t="n"/>
    </row>
    <row r="81" ht="15.6" customHeight="1">
      <c r="A81" s="11">
        <f>ROW()-ROW($A$2)</f>
        <v/>
      </c>
      <c r="B81" s="7" t="n"/>
      <c r="C81" s="12" t="n"/>
      <c r="D81" s="12" t="n"/>
      <c r="E81" s="68" t="n"/>
      <c r="F81" s="73" t="n"/>
      <c r="G81" s="73" t="n"/>
      <c r="H81" s="74">
        <f>SUM(F81:G81)</f>
        <v/>
      </c>
      <c r="I81" s="75" t="n"/>
      <c r="J81" s="76">
        <f>SUM(H81*I81)</f>
        <v/>
      </c>
      <c r="K81" s="8" t="n"/>
      <c r="L81" s="77" t="n"/>
      <c r="M81" s="13" t="n"/>
      <c r="N81" s="27" t="n"/>
      <c r="O81" s="13" t="n"/>
      <c r="P81" s="13" t="n"/>
    </row>
    <row r="82" ht="15.6" customHeight="1">
      <c r="A82" s="11">
        <f>ROW()-ROW($A$2)</f>
        <v/>
      </c>
      <c r="B82" s="7" t="n"/>
      <c r="C82" s="12" t="n"/>
      <c r="D82" s="12" t="n"/>
      <c r="E82" s="68" t="n"/>
      <c r="F82" s="73" t="n"/>
      <c r="G82" s="73" t="n"/>
      <c r="H82" s="74">
        <f>SUM(F82:G82)</f>
        <v/>
      </c>
      <c r="I82" s="75" t="n"/>
      <c r="J82" s="76">
        <f>SUM(H82*I82)</f>
        <v/>
      </c>
      <c r="K82" s="8" t="n"/>
      <c r="L82" s="77" t="n"/>
      <c r="M82" s="13" t="n"/>
      <c r="N82" s="27" t="n"/>
      <c r="O82" s="13" t="n"/>
      <c r="P82" s="13" t="n"/>
    </row>
    <row r="83" ht="15.6" customHeight="1">
      <c r="A83" s="11">
        <f>ROW()-ROW($A$2)</f>
        <v/>
      </c>
      <c r="B83" s="7" t="n"/>
      <c r="C83" s="12" t="n"/>
      <c r="D83" s="12" t="n"/>
      <c r="E83" s="68" t="n"/>
      <c r="F83" s="73" t="n"/>
      <c r="G83" s="73" t="n"/>
      <c r="H83" s="74">
        <f>SUM(F83:G83)</f>
        <v/>
      </c>
      <c r="I83" s="75" t="n"/>
      <c r="J83" s="76">
        <f>SUM(H83*I83)</f>
        <v/>
      </c>
      <c r="K83" s="8" t="n"/>
      <c r="L83" s="77" t="n"/>
      <c r="M83" s="13" t="n"/>
      <c r="N83" s="27" t="n"/>
      <c r="O83" s="13" t="n"/>
      <c r="P83" s="13" t="n"/>
    </row>
    <row r="84" ht="15.6" customHeight="1">
      <c r="A84" s="11">
        <f>ROW()-ROW($A$2)</f>
        <v/>
      </c>
      <c r="B84" s="7" t="n"/>
      <c r="C84" s="12" t="n"/>
      <c r="D84" s="12" t="n"/>
      <c r="E84" s="68" t="n"/>
      <c r="F84" s="73" t="n"/>
      <c r="G84" s="73" t="n"/>
      <c r="H84" s="74">
        <f>SUM(F84:G84)</f>
        <v/>
      </c>
      <c r="I84" s="75" t="n"/>
      <c r="J84" s="76">
        <f>SUM(H84*I84)</f>
        <v/>
      </c>
      <c r="K84" s="8" t="n"/>
      <c r="L84" s="77" t="n"/>
      <c r="M84" s="13" t="n"/>
      <c r="N84" s="27" t="n"/>
      <c r="O84" s="13" t="n"/>
      <c r="P84" s="13" t="n"/>
    </row>
    <row r="85" ht="15.6" customHeight="1">
      <c r="A85" s="11">
        <f>ROW()-ROW($A$2)</f>
        <v/>
      </c>
      <c r="B85" s="7" t="n"/>
      <c r="C85" s="12" t="n"/>
      <c r="D85" s="12" t="n"/>
      <c r="E85" s="68" t="n"/>
      <c r="F85" s="73" t="n"/>
      <c r="G85" s="73" t="n"/>
      <c r="H85" s="74">
        <f>SUM(F85:G85)</f>
        <v/>
      </c>
      <c r="I85" s="75" t="n"/>
      <c r="J85" s="76">
        <f>SUM(H85*I85)</f>
        <v/>
      </c>
      <c r="K85" s="8" t="n"/>
      <c r="L85" s="77" t="n"/>
      <c r="M85" s="13" t="n"/>
      <c r="N85" s="27" t="n"/>
      <c r="O85" s="13" t="n"/>
      <c r="P85" s="13" t="n"/>
    </row>
    <row r="86" ht="15.6" customHeight="1">
      <c r="A86" s="11">
        <f>ROW()-ROW($A$2)</f>
        <v/>
      </c>
      <c r="B86" s="7" t="n"/>
      <c r="C86" s="12" t="n"/>
      <c r="D86" s="12" t="n"/>
      <c r="E86" s="68" t="n"/>
      <c r="F86" s="73" t="n"/>
      <c r="G86" s="73" t="n"/>
      <c r="H86" s="74">
        <f>SUM(F86:G86)</f>
        <v/>
      </c>
      <c r="I86" s="75" t="n"/>
      <c r="J86" s="76">
        <f>SUM(H86*I86)</f>
        <v/>
      </c>
      <c r="K86" s="8" t="n"/>
      <c r="L86" s="77" t="n"/>
      <c r="M86" s="13" t="n"/>
      <c r="N86" s="27" t="n"/>
      <c r="O86" s="13" t="n"/>
      <c r="P86" s="13" t="n"/>
    </row>
    <row r="87" ht="15.6" customHeight="1">
      <c r="A87" s="11">
        <f>ROW()-ROW($A$2)</f>
        <v/>
      </c>
      <c r="B87" s="7" t="n"/>
      <c r="C87" s="12" t="n"/>
      <c r="D87" s="12" t="n"/>
      <c r="E87" s="68" t="n"/>
      <c r="F87" s="73" t="n"/>
      <c r="G87" s="73" t="n"/>
      <c r="H87" s="74">
        <f>SUM(F87:G87)</f>
        <v/>
      </c>
      <c r="I87" s="75" t="n"/>
      <c r="J87" s="76">
        <f>SUM(H87*I87)</f>
        <v/>
      </c>
      <c r="K87" s="8" t="n"/>
      <c r="L87" s="77" t="n"/>
      <c r="M87" s="13" t="n"/>
      <c r="N87" s="27" t="n"/>
      <c r="O87" s="13" t="n"/>
      <c r="P87" s="13" t="n"/>
    </row>
    <row r="88" ht="15.6" customHeight="1">
      <c r="A88" s="11">
        <f>ROW()-ROW($A$2)</f>
        <v/>
      </c>
      <c r="B88" s="7" t="n"/>
      <c r="C88" s="12" t="n"/>
      <c r="D88" s="12" t="n"/>
      <c r="E88" s="68" t="n"/>
      <c r="F88" s="73" t="n"/>
      <c r="G88" s="73" t="n"/>
      <c r="H88" s="74">
        <f>SUM(F88:G88)</f>
        <v/>
      </c>
      <c r="I88" s="75" t="n"/>
      <c r="J88" s="76">
        <f>SUM(H88*I88)</f>
        <v/>
      </c>
      <c r="K88" s="8" t="n"/>
      <c r="L88" s="77" t="n"/>
      <c r="M88" s="13" t="n"/>
      <c r="N88" s="27" t="n"/>
      <c r="O88" s="13" t="n"/>
      <c r="P88" s="13" t="n"/>
    </row>
    <row r="89" ht="15.6" customHeight="1">
      <c r="A89" s="11">
        <f>ROW()-ROW($A$2)</f>
        <v/>
      </c>
      <c r="B89" s="7" t="n"/>
      <c r="C89" s="12" t="n"/>
      <c r="D89" s="12" t="n"/>
      <c r="E89" s="68" t="n"/>
      <c r="F89" s="73" t="n"/>
      <c r="G89" s="73" t="n"/>
      <c r="H89" s="74">
        <f>SUM(F89:G89)</f>
        <v/>
      </c>
      <c r="I89" s="75" t="n"/>
      <c r="J89" s="76">
        <f>SUM(H89*I89)</f>
        <v/>
      </c>
      <c r="K89" s="8" t="n"/>
      <c r="L89" s="77" t="n"/>
      <c r="M89" s="13" t="n"/>
      <c r="N89" s="27" t="n"/>
      <c r="O89" s="13" t="n"/>
      <c r="P89" s="13" t="n"/>
    </row>
    <row r="90" ht="15.6" customHeight="1">
      <c r="A90" s="11">
        <f>ROW()-ROW($A$2)</f>
        <v/>
      </c>
      <c r="B90" s="7" t="n"/>
      <c r="C90" s="12" t="n"/>
      <c r="D90" s="12" t="n"/>
      <c r="E90" s="68" t="n"/>
      <c r="F90" s="73" t="n"/>
      <c r="G90" s="73" t="n"/>
      <c r="H90" s="74">
        <f>SUM(F90:G90)</f>
        <v/>
      </c>
      <c r="I90" s="75" t="n"/>
      <c r="J90" s="76">
        <f>SUM(H90*I90)</f>
        <v/>
      </c>
      <c r="K90" s="8" t="n"/>
      <c r="L90" s="77" t="n"/>
      <c r="M90" s="13" t="n"/>
      <c r="N90" s="27" t="n"/>
      <c r="O90" s="13" t="n"/>
      <c r="P90" s="13" t="n"/>
    </row>
    <row r="91" ht="15.6" customHeight="1">
      <c r="A91" s="11">
        <f>ROW()-ROW($A$2)</f>
        <v/>
      </c>
      <c r="B91" s="7" t="n"/>
      <c r="C91" s="12" t="n"/>
      <c r="D91" s="12" t="n"/>
      <c r="E91" s="68" t="n"/>
      <c r="F91" s="73" t="n"/>
      <c r="G91" s="73" t="n"/>
      <c r="H91" s="74">
        <f>SUM(F91:G91)</f>
        <v/>
      </c>
      <c r="I91" s="75" t="n"/>
      <c r="J91" s="76">
        <f>SUM(H91*I91)</f>
        <v/>
      </c>
      <c r="K91" s="8" t="n"/>
      <c r="L91" s="77" t="n"/>
      <c r="M91" s="13" t="n"/>
      <c r="N91" s="27" t="n"/>
      <c r="O91" s="13" t="n"/>
      <c r="P91" s="13" t="n"/>
    </row>
    <row r="92" ht="15.6" customHeight="1">
      <c r="A92" s="11">
        <f>ROW()-ROW($A$2)</f>
        <v/>
      </c>
      <c r="B92" s="7" t="n"/>
      <c r="C92" s="12" t="n"/>
      <c r="D92" s="12" t="n"/>
      <c r="E92" s="68" t="n"/>
      <c r="F92" s="73" t="n"/>
      <c r="G92" s="73" t="n"/>
      <c r="H92" s="74">
        <f>SUM(F92:G92)</f>
        <v/>
      </c>
      <c r="I92" s="75" t="n"/>
      <c r="J92" s="76">
        <f>SUM(H92*I92)</f>
        <v/>
      </c>
      <c r="K92" s="8" t="n"/>
      <c r="L92" s="77" t="n"/>
      <c r="M92" s="13" t="n"/>
      <c r="N92" s="27" t="n"/>
      <c r="O92" s="13" t="n"/>
      <c r="P92" s="13" t="n"/>
    </row>
    <row r="93" ht="15.6" customHeight="1">
      <c r="A93" s="11">
        <f>ROW()-ROW($A$2)</f>
        <v/>
      </c>
      <c r="B93" s="7" t="n"/>
      <c r="C93" s="12" t="n"/>
      <c r="D93" s="12" t="n"/>
      <c r="E93" s="68" t="n"/>
      <c r="F93" s="73" t="n"/>
      <c r="G93" s="73" t="n"/>
      <c r="H93" s="74">
        <f>SUM(F93:G93)</f>
        <v/>
      </c>
      <c r="I93" s="75" t="n"/>
      <c r="J93" s="76">
        <f>SUM(H93*I93)</f>
        <v/>
      </c>
      <c r="K93" s="8" t="n"/>
      <c r="L93" s="77" t="n"/>
      <c r="M93" s="13" t="n"/>
      <c r="N93" s="27" t="n"/>
      <c r="O93" s="13" t="n"/>
      <c r="P93" s="13" t="n"/>
    </row>
    <row r="94" ht="15.6" customHeight="1">
      <c r="A94" s="11">
        <f>ROW()-ROW($A$2)</f>
        <v/>
      </c>
      <c r="B94" s="7" t="n"/>
      <c r="C94" s="12" t="n"/>
      <c r="D94" s="12" t="n"/>
      <c r="E94" s="68" t="n"/>
      <c r="F94" s="73" t="n"/>
      <c r="G94" s="73" t="n"/>
      <c r="H94" s="74">
        <f>SUM(F94:G94)</f>
        <v/>
      </c>
      <c r="I94" s="75" t="n"/>
      <c r="J94" s="76">
        <f>SUM(H94*I94)</f>
        <v/>
      </c>
      <c r="K94" s="8" t="n"/>
      <c r="L94" s="77" t="n"/>
      <c r="M94" s="13" t="n"/>
      <c r="N94" s="27" t="n"/>
      <c r="O94" s="13" t="n"/>
      <c r="P94" s="13" t="n"/>
    </row>
    <row r="95" ht="15.6" customHeight="1">
      <c r="A95" s="11">
        <f>ROW()-ROW($A$2)</f>
        <v/>
      </c>
      <c r="B95" s="7" t="n"/>
      <c r="C95" s="12" t="n"/>
      <c r="D95" s="12" t="n"/>
      <c r="E95" s="68" t="n"/>
      <c r="F95" s="73" t="n"/>
      <c r="G95" s="73" t="n"/>
      <c r="H95" s="74">
        <f>SUM(F95:G95)</f>
        <v/>
      </c>
      <c r="I95" s="75" t="n"/>
      <c r="J95" s="76">
        <f>SUM(H95*I95)</f>
        <v/>
      </c>
      <c r="K95" s="8" t="n"/>
      <c r="L95" s="77" t="n"/>
      <c r="M95" s="13" t="n"/>
      <c r="N95" s="27" t="n"/>
      <c r="O95" s="13" t="n"/>
      <c r="P95" s="13" t="n"/>
    </row>
    <row r="96" ht="15.6" customHeight="1">
      <c r="A96" s="11">
        <f>ROW()-ROW($A$2)</f>
        <v/>
      </c>
      <c r="B96" s="7" t="n"/>
      <c r="C96" s="12" t="n"/>
      <c r="D96" s="12" t="n"/>
      <c r="E96" s="68" t="n"/>
      <c r="F96" s="73" t="n"/>
      <c r="G96" s="73" t="n"/>
      <c r="H96" s="74">
        <f>SUM(F96:G96)</f>
        <v/>
      </c>
      <c r="I96" s="75" t="n"/>
      <c r="J96" s="76">
        <f>SUM(H96*I96)</f>
        <v/>
      </c>
      <c r="K96" s="8" t="n"/>
      <c r="L96" s="77" t="n"/>
      <c r="M96" s="13" t="n"/>
      <c r="N96" s="27" t="n"/>
      <c r="O96" s="13" t="n"/>
      <c r="P96" s="13" t="n"/>
    </row>
    <row r="97" ht="15.6" customHeight="1">
      <c r="A97" s="11">
        <f>ROW()-ROW($A$2)</f>
        <v/>
      </c>
      <c r="B97" s="12" t="n"/>
      <c r="C97" s="12" t="n"/>
      <c r="D97" s="12" t="n"/>
      <c r="E97" s="68" t="n"/>
      <c r="F97" s="73" t="n"/>
      <c r="G97" s="73" t="n"/>
      <c r="H97" s="74">
        <f>SUM(F97:G97)</f>
        <v/>
      </c>
      <c r="I97" s="75" t="n"/>
      <c r="J97" s="76">
        <f>SUM(H97*I97)</f>
        <v/>
      </c>
      <c r="K97" s="8" t="n"/>
      <c r="L97" s="77" t="n"/>
      <c r="M97" s="13" t="n"/>
      <c r="N97" s="27" t="n"/>
      <c r="O97" s="13" t="n"/>
      <c r="P97" s="13" t="n"/>
    </row>
    <row r="98" ht="15.6" customHeight="1">
      <c r="A98" s="11">
        <f>ROW()-ROW($A$2)</f>
        <v/>
      </c>
      <c r="B98" s="12" t="n"/>
      <c r="C98" s="12" t="n"/>
      <c r="D98" s="12" t="n"/>
      <c r="E98" s="68" t="n"/>
      <c r="F98" s="73" t="n"/>
      <c r="G98" s="73" t="n"/>
      <c r="H98" s="74">
        <f>SUM(F98:G98)</f>
        <v/>
      </c>
      <c r="I98" s="75" t="n"/>
      <c r="J98" s="76">
        <f>SUM(H98*I98)</f>
        <v/>
      </c>
      <c r="K98" s="8" t="n"/>
      <c r="L98" s="77" t="n"/>
      <c r="M98" s="13" t="n"/>
      <c r="N98" s="27" t="n"/>
      <c r="O98" s="13" t="n"/>
      <c r="P98" s="13" t="n"/>
    </row>
    <row r="99" ht="15.6" customHeight="1">
      <c r="A99" s="11">
        <f>ROW()-ROW($A$2)</f>
        <v/>
      </c>
      <c r="B99" s="12" t="n"/>
      <c r="C99" s="12" t="n"/>
      <c r="D99" s="12" t="n"/>
      <c r="E99" s="68" t="n"/>
      <c r="F99" s="73" t="n"/>
      <c r="G99" s="73" t="n"/>
      <c r="H99" s="74">
        <f>SUM(F99:G99)</f>
        <v/>
      </c>
      <c r="I99" s="75" t="n"/>
      <c r="J99" s="76">
        <f>SUM(H99*I99)</f>
        <v/>
      </c>
      <c r="K99" s="8" t="n"/>
      <c r="L99" s="77" t="n"/>
      <c r="M99" s="13" t="n"/>
      <c r="N99" s="27" t="n"/>
      <c r="O99" s="13" t="n"/>
      <c r="P99" s="13" t="n"/>
    </row>
    <row r="100" ht="15.6" customHeight="1">
      <c r="A100" s="11">
        <f>ROW()-ROW($A$2)</f>
        <v/>
      </c>
      <c r="B100" s="12" t="n"/>
      <c r="C100" s="12" t="n"/>
      <c r="D100" s="12" t="n"/>
      <c r="E100" s="68" t="n"/>
      <c r="F100" s="73" t="n"/>
      <c r="G100" s="73" t="n"/>
      <c r="H100" s="74">
        <f>SUM(F100:G100)</f>
        <v/>
      </c>
      <c r="I100" s="75" t="n"/>
      <c r="J100" s="76">
        <f>SUM(H100*I100)</f>
        <v/>
      </c>
      <c r="K100" s="8" t="n"/>
      <c r="L100" s="77" t="n"/>
      <c r="M100" s="13" t="n"/>
      <c r="N100" s="27" t="n"/>
      <c r="O100" s="13" t="n"/>
      <c r="P100" s="13" t="n"/>
    </row>
    <row r="101" ht="15.6" customHeight="1">
      <c r="A101" s="10" t="n"/>
      <c r="B101" s="7" t="n"/>
      <c r="C101" s="12" t="n"/>
      <c r="D101" s="12" t="n"/>
      <c r="E101" s="68" t="n"/>
      <c r="F101" s="73" t="n"/>
      <c r="G101" s="73" t="n"/>
      <c r="H101" s="74">
        <f>SUM(F101:G101)</f>
        <v/>
      </c>
      <c r="I101" s="75" t="n"/>
      <c r="J101" s="76">
        <f>SUM(H101*I101)</f>
        <v/>
      </c>
      <c r="K101" s="5" t="n"/>
      <c r="L101" s="77" t="n"/>
      <c r="M101" s="13" t="n"/>
      <c r="N101" s="27" t="n"/>
      <c r="O101" s="13" t="n"/>
      <c r="P101" s="13" t="n"/>
    </row>
    <row r="102">
      <c r="A102" s="10" t="n"/>
      <c r="B102" s="7" t="n"/>
      <c r="C102" s="7" t="n"/>
      <c r="D102" s="7" t="n"/>
      <c r="E102" s="68" t="n"/>
      <c r="F102" s="73" t="n"/>
      <c r="G102" s="73" t="n"/>
      <c r="H102" s="73" t="n"/>
      <c r="I102" s="91" t="n"/>
      <c r="J102" s="76" t="n"/>
      <c r="K102" s="5" t="n"/>
      <c r="L102" s="77" t="n"/>
      <c r="M102" s="13" t="n"/>
      <c r="N102" s="27" t="n"/>
      <c r="O102" s="13" t="n"/>
      <c r="P102" s="13" t="n"/>
    </row>
    <row r="103">
      <c r="A103" s="10" t="n"/>
      <c r="B103" s="7" t="n"/>
      <c r="C103" s="7" t="n"/>
      <c r="D103" s="7" t="n"/>
      <c r="E103" s="68" t="n"/>
      <c r="F103" s="73" t="n"/>
      <c r="G103" s="73" t="n"/>
      <c r="H103" s="73" t="n"/>
      <c r="I103" s="91" t="n"/>
      <c r="J103" s="76" t="n"/>
      <c r="K103" s="5" t="n"/>
      <c r="L103" s="77" t="n"/>
      <c r="M103" s="13" t="n"/>
      <c r="N103" s="27" t="n"/>
      <c r="O103" s="13" t="n"/>
      <c r="P103" s="13" t="n"/>
    </row>
    <row r="104" ht="16.2" customHeight="1" thickBot="1">
      <c r="A104" s="37">
        <f>COUNT(A3:A100)</f>
        <v/>
      </c>
      <c r="B104" s="36" t="inlineStr">
        <is>
          <t>Total</t>
        </is>
      </c>
      <c r="C104" s="7" t="n"/>
      <c r="D104" s="7" t="n"/>
      <c r="E104" s="68" t="n"/>
      <c r="F104" s="92">
        <f>SUM(F3:F100)</f>
        <v/>
      </c>
      <c r="G104" s="73" t="n"/>
      <c r="H104" s="92">
        <f>SUM(H3:H100)</f>
        <v/>
      </c>
      <c r="I104" s="91" t="n"/>
      <c r="J104" s="93">
        <f>SUM(J3:J100)</f>
        <v/>
      </c>
      <c r="K104" s="5" t="n"/>
      <c r="L104" s="77" t="n"/>
      <c r="M104" s="13" t="n"/>
      <c r="N104" s="27" t="n"/>
      <c r="O104" s="13" t="n"/>
      <c r="P104" s="13" t="n"/>
    </row>
    <row r="105" ht="16.2" customHeight="1" thickTop="1">
      <c r="I105" s="33" t="inlineStr">
        <is>
          <t>Advance</t>
        </is>
      </c>
      <c r="J105" s="94" t="n">
        <v>1</v>
      </c>
    </row>
    <row r="106" ht="15.6" customHeight="1">
      <c r="I106" s="33" t="inlineStr">
        <is>
          <t>Sweets</t>
        </is>
      </c>
      <c r="J106" s="94" t="n">
        <v>1</v>
      </c>
    </row>
    <row r="107" ht="15.6" customHeight="1">
      <c r="I107" s="33" t="inlineStr">
        <is>
          <t>Balance</t>
        </is>
      </c>
      <c r="J107" s="95">
        <f>SUM(J104-J105-J106)</f>
        <v/>
      </c>
    </row>
  </sheetData>
  <autoFilter ref="A2:P104"/>
  <conditionalFormatting sqref="F104">
    <cfRule type="cellIs" priority="4" operator="lessThan" dxfId="1" stopIfTrue="1">
      <formula>1</formula>
    </cfRule>
  </conditionalFormatting>
  <conditionalFormatting sqref="H104">
    <cfRule type="cellIs" priority="2" operator="lessThan" dxfId="1" stopIfTrue="1">
      <formula>1</formula>
    </cfRule>
  </conditionalFormatting>
  <conditionalFormatting sqref="J104">
    <cfRule type="cellIs" priority="3" operator="lessThan" dxfId="1" stopIfTrue="1">
      <formula>1</formula>
    </cfRule>
  </conditionalFormatting>
  <conditionalFormatting sqref="J105:J107">
    <cfRule type="cellIs" priority="1" operator="lessThan" dxfId="0" stopIfTrue="1">
      <formula>0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7"/>
  <sheetViews>
    <sheetView zoomScaleNormal="100" workbookViewId="0">
      <pane xSplit="5" ySplit="2" topLeftCell="F3" activePane="bottomRight" state="frozenSplit"/>
      <selection pane="topRight" activeCell="F1" sqref="F1"/>
      <selection pane="bottomLeft" activeCell="A9" sqref="A9"/>
      <selection pane="bottomRight" activeCell="C3" sqref="C3:D4"/>
    </sheetView>
  </sheetViews>
  <sheetFormatPr baseColWidth="8" defaultRowHeight="14.4"/>
  <cols>
    <col width="5.88671875" bestFit="1" customWidth="1" min="1" max="1"/>
    <col width="32.44140625" customWidth="1" min="2" max="2"/>
    <col width="12.88671875" customWidth="1" min="3" max="3"/>
    <col width="11.5546875" customWidth="1" min="4" max="4"/>
    <col width="9" bestFit="1" customWidth="1" min="5" max="5"/>
    <col width="15.88671875" customWidth="1" min="6" max="6"/>
    <col width="14.6640625" customWidth="1" min="7" max="8"/>
    <col width="12.88671875" bestFit="1" customWidth="1" min="9" max="9"/>
    <col width="12" bestFit="1" customWidth="1" style="66" min="10" max="10"/>
    <col width="13.33203125" customWidth="1" min="11" max="11"/>
    <col width="18.109375" customWidth="1" min="12" max="12"/>
    <col width="17.33203125" customWidth="1" min="15" max="15"/>
  </cols>
  <sheetData>
    <row r="1" ht="23.4" customHeight="1">
      <c r="A1" s="22" t="n"/>
      <c r="B1" s="23" t="inlineStr">
        <is>
          <t>Naval</t>
        </is>
      </c>
      <c r="C1" s="23" t="inlineStr">
        <is>
          <t>Extra Staff Diwali-26</t>
        </is>
      </c>
      <c r="D1" s="23" t="n"/>
      <c r="E1" s="24" t="n"/>
      <c r="F1" s="22" t="n"/>
      <c r="G1" s="22" t="n"/>
      <c r="H1" s="22" t="n"/>
      <c r="I1" s="22" t="n"/>
      <c r="J1" s="67" t="n"/>
      <c r="K1" s="22" t="n"/>
      <c r="L1" s="22" t="n"/>
      <c r="M1" s="25" t="n"/>
      <c r="N1" s="25" t="n"/>
      <c r="O1" s="38" t="n"/>
      <c r="P1" s="38" t="n"/>
    </row>
    <row r="2" ht="21" customHeight="1">
      <c r="A2" s="14" t="inlineStr">
        <is>
          <t>No.</t>
        </is>
      </c>
      <c r="B2" s="15" t="inlineStr">
        <is>
          <t>Staff Name</t>
        </is>
      </c>
      <c r="C2" s="63" t="inlineStr">
        <is>
          <t>Designation</t>
        </is>
      </c>
      <c r="D2" s="63" t="inlineStr">
        <is>
          <t>Loctation</t>
        </is>
      </c>
      <c r="E2" s="68" t="inlineStr">
        <is>
          <t>Staff</t>
        </is>
      </c>
      <c r="F2" s="69" t="inlineStr">
        <is>
          <t>Sept Present</t>
        </is>
      </c>
      <c r="G2" s="69" t="inlineStr">
        <is>
          <t>Octo Present</t>
        </is>
      </c>
      <c r="H2" s="69" t="inlineStr">
        <is>
          <t>Total Present</t>
        </is>
      </c>
      <c r="I2" s="17" t="inlineStr">
        <is>
          <t>Per Day Pay</t>
        </is>
      </c>
      <c r="J2" s="70" t="inlineStr">
        <is>
          <t>Net Pay</t>
        </is>
      </c>
      <c r="K2" s="18" t="inlineStr">
        <is>
          <t>2026 Per Day</t>
        </is>
      </c>
      <c r="L2" s="71" t="inlineStr">
        <is>
          <t>Sweet Kg.</t>
        </is>
      </c>
      <c r="M2" s="71" t="inlineStr">
        <is>
          <t>Aadhar</t>
        </is>
      </c>
      <c r="N2" s="72" t="inlineStr">
        <is>
          <t>Mobile</t>
        </is>
      </c>
      <c r="O2" s="71" t="inlineStr">
        <is>
          <t>From Date</t>
        </is>
      </c>
      <c r="P2" s="71" t="inlineStr">
        <is>
          <t>To Date</t>
        </is>
      </c>
      <c r="Q2" t="inlineStr">
        <is>
          <t>App ID</t>
        </is>
      </c>
      <c r="R2" t="inlineStr">
        <is>
          <t>Employment Status</t>
        </is>
      </c>
      <c r="S2" t="inlineStr">
        <is>
          <t>Departure Date</t>
        </is>
      </c>
      <c r="T2" t="inlineStr">
        <is>
          <t>Departure Reason</t>
        </is>
      </c>
      <c r="U2" t="inlineStr">
        <is>
          <t>Status Verified</t>
        </is>
      </c>
    </row>
    <row r="3" ht="15.6" customHeight="1">
      <c r="A3" s="11">
        <f>ROW()-ROW($A$2)</f>
        <v/>
      </c>
      <c r="B3" s="12" t="inlineStr">
        <is>
          <t>Navalji Chanduji Solanki</t>
        </is>
      </c>
      <c r="C3" s="12" t="inlineStr">
        <is>
          <t>Packing</t>
        </is>
      </c>
      <c r="D3" s="12" t="inlineStr">
        <is>
          <t>Sardar Hall</t>
        </is>
      </c>
      <c r="E3" s="68" t="n">
        <v>1</v>
      </c>
      <c r="F3" s="73" t="n">
        <v>5</v>
      </c>
      <c r="G3" s="73" t="n">
        <v>25</v>
      </c>
      <c r="H3" s="74">
        <f>SUM(F3:G3)</f>
        <v/>
      </c>
      <c r="I3" s="75" t="n">
        <v>100</v>
      </c>
      <c r="J3" s="76">
        <f>SUM(H3*I3)</f>
        <v/>
      </c>
      <c r="K3" s="21" t="n"/>
      <c r="L3" s="77" t="n"/>
      <c r="M3" s="13" t="n"/>
      <c r="N3" s="27" t="n"/>
      <c r="O3" s="13" t="n"/>
      <c r="P3" s="13" t="n"/>
      <c r="Q3" t="inlineStr">
        <is>
          <t>EMP-76066600</t>
        </is>
      </c>
      <c r="R3" t="inlineStr">
        <is>
          <t>Active</t>
        </is>
      </c>
    </row>
    <row r="4" ht="15.6" customHeight="1">
      <c r="A4" s="11">
        <f>ROW()-ROW($A$2)</f>
        <v/>
      </c>
      <c r="B4" s="12" t="inlineStr">
        <is>
          <t>Vikramji Jesarsinh Jadeja</t>
        </is>
      </c>
      <c r="C4" s="12" t="n"/>
      <c r="D4" s="12" t="n"/>
      <c r="E4" s="68" t="n"/>
      <c r="F4" s="73" t="n"/>
      <c r="G4" s="73" t="n"/>
      <c r="H4" s="74">
        <f>SUM(F4:G4)</f>
        <v/>
      </c>
      <c r="I4" s="75" t="n"/>
      <c r="J4" s="76">
        <f>SUM(H4*I4)</f>
        <v/>
      </c>
      <c r="K4" s="5" t="n"/>
      <c r="L4" s="78" t="n"/>
      <c r="M4" s="13" t="n"/>
      <c r="N4" s="27" t="n"/>
      <c r="O4" s="13" t="n"/>
      <c r="P4" s="13" t="n"/>
      <c r="Q4" t="inlineStr">
        <is>
          <t>EMP-F0BFDC61</t>
        </is>
      </c>
      <c r="R4" t="inlineStr">
        <is>
          <t>Active</t>
        </is>
      </c>
    </row>
    <row r="5" ht="15.6" customHeight="1">
      <c r="A5" s="11">
        <f>ROW()-ROW($A$2)</f>
        <v/>
      </c>
      <c r="B5" s="7" t="inlineStr">
        <is>
          <t>Jitubha Navasung Jadeja</t>
        </is>
      </c>
      <c r="C5" s="12" t="n"/>
      <c r="D5" s="12" t="n"/>
      <c r="E5" s="68" t="n"/>
      <c r="F5" s="73" t="n"/>
      <c r="G5" s="73" t="n"/>
      <c r="H5" s="74">
        <f>SUM(F5:G5)</f>
        <v/>
      </c>
      <c r="I5" s="75" t="n"/>
      <c r="J5" s="76">
        <f>SUM(H5*I5)</f>
        <v/>
      </c>
      <c r="K5" s="8" t="n"/>
      <c r="L5" s="77" t="n"/>
      <c r="M5" s="13" t="n"/>
      <c r="N5" s="27" t="n"/>
      <c r="O5" s="13" t="n"/>
      <c r="P5" s="13" t="n"/>
      <c r="Q5" t="inlineStr">
        <is>
          <t>EMP-3923186E</t>
        </is>
      </c>
      <c r="R5" t="inlineStr">
        <is>
          <t>Active</t>
        </is>
      </c>
    </row>
    <row r="6" ht="15.6" customHeight="1">
      <c r="A6" s="11">
        <f>ROW()-ROW($A$2)</f>
        <v/>
      </c>
      <c r="B6" s="7" t="inlineStr">
        <is>
          <t>Vishal Bharatbhai Dantani</t>
        </is>
      </c>
      <c r="C6" s="12" t="n"/>
      <c r="D6" s="12" t="n"/>
      <c r="E6" s="68" t="n"/>
      <c r="F6" s="73" t="n"/>
      <c r="G6" s="73" t="n"/>
      <c r="H6" s="74">
        <f>SUM(F6:G6)</f>
        <v/>
      </c>
      <c r="I6" s="75" t="n"/>
      <c r="J6" s="76">
        <f>SUM(H6*I6)</f>
        <v/>
      </c>
      <c r="K6" s="8" t="n"/>
      <c r="L6" s="77" t="n"/>
      <c r="M6" s="13" t="n"/>
      <c r="N6" s="27" t="n"/>
      <c r="O6" s="13" t="n"/>
      <c r="P6" s="13" t="n"/>
      <c r="Q6" t="inlineStr">
        <is>
          <t>EMP-9B11E158</t>
        </is>
      </c>
      <c r="R6" t="inlineStr">
        <is>
          <t>Active</t>
        </is>
      </c>
    </row>
    <row r="7" ht="15.6" customHeight="1">
      <c r="A7" s="11">
        <f>ROW()-ROW($A$2)</f>
        <v/>
      </c>
      <c r="B7" s="7" t="inlineStr">
        <is>
          <t>Tushar Chandubhai Chavda</t>
        </is>
      </c>
      <c r="C7" s="12" t="n"/>
      <c r="D7" s="12" t="n"/>
      <c r="E7" s="68" t="n"/>
      <c r="F7" s="73" t="n"/>
      <c r="G7" s="73" t="n"/>
      <c r="H7" s="74">
        <f>SUM(F7:G7)</f>
        <v/>
      </c>
      <c r="I7" s="75" t="n"/>
      <c r="J7" s="76">
        <f>SUM(H7*I7)</f>
        <v/>
      </c>
      <c r="K7" s="8" t="n"/>
      <c r="L7" s="77" t="n"/>
      <c r="M7" s="13" t="n"/>
      <c r="N7" s="27" t="n"/>
      <c r="O7" s="13" t="n"/>
      <c r="P7" s="13" t="n"/>
      <c r="Q7" t="inlineStr">
        <is>
          <t>EMP-A38C2CE5</t>
        </is>
      </c>
      <c r="R7" t="inlineStr">
        <is>
          <t>Active</t>
        </is>
      </c>
    </row>
    <row r="8" ht="15.6" customHeight="1">
      <c r="A8" s="11">
        <f>ROW()-ROW($A$2)</f>
        <v/>
      </c>
      <c r="B8" s="7" t="inlineStr">
        <is>
          <t>Mahesh Baldevbhai Chavda</t>
        </is>
      </c>
      <c r="C8" s="12" t="n"/>
      <c r="D8" s="12" t="n"/>
      <c r="E8" s="68" t="n"/>
      <c r="F8" s="73" t="n"/>
      <c r="G8" s="73" t="n"/>
      <c r="H8" s="74">
        <f>SUM(F8:G8)</f>
        <v/>
      </c>
      <c r="I8" s="75" t="n"/>
      <c r="J8" s="76">
        <f>SUM(H8*I8)</f>
        <v/>
      </c>
      <c r="K8" s="8" t="n"/>
      <c r="L8" s="77" t="n"/>
      <c r="M8" s="13" t="n"/>
      <c r="N8" s="27" t="n"/>
      <c r="O8" s="13" t="n"/>
      <c r="P8" s="13" t="n"/>
      <c r="Q8" t="inlineStr">
        <is>
          <t>EMP-D58C6747</t>
        </is>
      </c>
      <c r="R8" t="inlineStr">
        <is>
          <t>Active</t>
        </is>
      </c>
    </row>
    <row r="9" ht="15.6" customHeight="1">
      <c r="A9" s="11">
        <f>ROW()-ROW($A$2)</f>
        <v/>
      </c>
      <c r="B9" s="7" t="inlineStr">
        <is>
          <t>Kishanji Punaji Thakor</t>
        </is>
      </c>
      <c r="C9" s="12" t="n"/>
      <c r="D9" s="12" t="n"/>
      <c r="E9" s="68" t="n"/>
      <c r="F9" s="73" t="n"/>
      <c r="G9" s="73" t="n"/>
      <c r="H9" s="74">
        <f>SUM(F9:G9)</f>
        <v/>
      </c>
      <c r="I9" s="75" t="n"/>
      <c r="J9" s="76">
        <f>SUM(H9*I9)</f>
        <v/>
      </c>
      <c r="K9" s="8" t="n"/>
      <c r="L9" s="77" t="n"/>
      <c r="M9" s="13" t="n"/>
      <c r="N9" s="27" t="n"/>
      <c r="O9" s="13" t="n"/>
      <c r="P9" s="13" t="n"/>
      <c r="Q9" t="inlineStr">
        <is>
          <t>EMP-DBC16052</t>
        </is>
      </c>
      <c r="R9" t="inlineStr">
        <is>
          <t>Active</t>
        </is>
      </c>
    </row>
    <row r="10" ht="15.6" customHeight="1">
      <c r="A10" s="11">
        <f>ROW()-ROW($A$2)</f>
        <v/>
      </c>
      <c r="B10" s="7" t="inlineStr">
        <is>
          <t>Divyang Amrutbhai Rawal</t>
        </is>
      </c>
      <c r="C10" s="12" t="n"/>
      <c r="D10" s="12" t="n"/>
      <c r="E10" s="68" t="n"/>
      <c r="F10" s="73" t="n"/>
      <c r="G10" s="73" t="n"/>
      <c r="H10" s="74">
        <f>SUM(F10:G10)</f>
        <v/>
      </c>
      <c r="I10" s="75" t="n"/>
      <c r="J10" s="76">
        <f>SUM(H10*I10)</f>
        <v/>
      </c>
      <c r="K10" s="8" t="n"/>
      <c r="L10" s="77" t="n"/>
      <c r="M10" s="13" t="n"/>
      <c r="N10" s="27" t="n"/>
      <c r="O10" s="13" t="n"/>
      <c r="P10" s="13" t="n"/>
      <c r="Q10" t="inlineStr">
        <is>
          <t>EMP-7647A6F8</t>
        </is>
      </c>
      <c r="R10" t="inlineStr">
        <is>
          <t>Active</t>
        </is>
      </c>
    </row>
    <row r="11" ht="15.6" customHeight="1">
      <c r="A11" s="11">
        <f>ROW()-ROW($A$2)</f>
        <v/>
      </c>
      <c r="B11" s="7" t="inlineStr">
        <is>
          <t>Mukesh Gabhabhai Raval</t>
        </is>
      </c>
      <c r="C11" s="12" t="n"/>
      <c r="D11" s="12" t="n"/>
      <c r="E11" s="68" t="n"/>
      <c r="F11" s="73" t="n"/>
      <c r="G11" s="73" t="n"/>
      <c r="H11" s="74">
        <f>SUM(F11:G11)</f>
        <v/>
      </c>
      <c r="I11" s="75" t="n"/>
      <c r="J11" s="76">
        <f>SUM(H11*I11)</f>
        <v/>
      </c>
      <c r="K11" s="8" t="n"/>
      <c r="L11" s="77" t="n"/>
      <c r="M11" s="13" t="n"/>
      <c r="N11" s="27" t="n"/>
      <c r="O11" s="13" t="n"/>
      <c r="P11" s="13" t="n"/>
      <c r="Q11" t="inlineStr">
        <is>
          <t>EMP-892B30AD</t>
        </is>
      </c>
      <c r="R11" t="inlineStr">
        <is>
          <t>Active</t>
        </is>
      </c>
    </row>
    <row r="12" ht="15.6" customHeight="1">
      <c r="A12" s="11">
        <f>ROW()-ROW($A$2)</f>
        <v/>
      </c>
      <c r="B12" s="7" t="inlineStr">
        <is>
          <t>Yogesh Dineshbhai Raval</t>
        </is>
      </c>
      <c r="C12" s="12" t="n"/>
      <c r="D12" s="12" t="n"/>
      <c r="E12" s="68" t="n"/>
      <c r="F12" s="73" t="n"/>
      <c r="G12" s="73" t="n"/>
      <c r="H12" s="74">
        <f>SUM(F12:G12)</f>
        <v/>
      </c>
      <c r="I12" s="75" t="n"/>
      <c r="J12" s="76">
        <f>SUM(H12*I12)</f>
        <v/>
      </c>
      <c r="K12" s="8" t="n"/>
      <c r="L12" s="77" t="n"/>
      <c r="M12" s="13" t="n"/>
      <c r="N12" s="27" t="n"/>
      <c r="O12" s="13" t="n"/>
      <c r="P12" s="13" t="n"/>
      <c r="Q12" t="inlineStr">
        <is>
          <t>EMP-DB25AAAB</t>
        </is>
      </c>
      <c r="R12" t="inlineStr">
        <is>
          <t>Active</t>
        </is>
      </c>
    </row>
    <row r="13" ht="15.6" customHeight="1">
      <c r="A13" s="11">
        <f>ROW()-ROW($A$2)</f>
        <v/>
      </c>
      <c r="B13" s="7" t="inlineStr">
        <is>
          <t>Ramdev Udaji Thakor</t>
        </is>
      </c>
      <c r="C13" s="12" t="n"/>
      <c r="D13" s="12" t="n"/>
      <c r="E13" s="68" t="n"/>
      <c r="F13" s="73" t="n"/>
      <c r="G13" s="73" t="n"/>
      <c r="H13" s="74">
        <f>SUM(F13:G13)</f>
        <v/>
      </c>
      <c r="I13" s="75" t="n"/>
      <c r="J13" s="76">
        <f>SUM(H13*I13)</f>
        <v/>
      </c>
      <c r="K13" s="8" t="n"/>
      <c r="L13" s="77" t="n"/>
      <c r="M13" s="13" t="n"/>
      <c r="N13" s="27" t="n"/>
      <c r="O13" s="13" t="n"/>
      <c r="P13" s="13" t="n"/>
      <c r="Q13" t="inlineStr">
        <is>
          <t>EMP-03070D6C</t>
        </is>
      </c>
      <c r="R13" t="inlineStr">
        <is>
          <t>Active</t>
        </is>
      </c>
    </row>
    <row r="14" ht="15.6" customHeight="1">
      <c r="A14" s="11">
        <f>ROW()-ROW($A$2)</f>
        <v/>
      </c>
      <c r="B14" s="7" t="inlineStr">
        <is>
          <t>Piyushbhai Rameshbhai Thakor</t>
        </is>
      </c>
      <c r="C14" s="12" t="n"/>
      <c r="D14" s="12" t="n"/>
      <c r="E14" s="68" t="n"/>
      <c r="F14" s="73" t="n"/>
      <c r="G14" s="73" t="n"/>
      <c r="H14" s="74">
        <f>SUM(F14:G14)</f>
        <v/>
      </c>
      <c r="I14" s="75" t="n"/>
      <c r="J14" s="76">
        <f>SUM(H14*I14)</f>
        <v/>
      </c>
      <c r="K14" s="8" t="n"/>
      <c r="L14" s="77" t="n"/>
      <c r="M14" s="13" t="n"/>
      <c r="N14" s="27" t="n"/>
      <c r="O14" s="13" t="n"/>
      <c r="P14" s="13" t="n"/>
      <c r="Q14" t="inlineStr">
        <is>
          <t>EMP-2E0B9196</t>
        </is>
      </c>
      <c r="R14" t="inlineStr">
        <is>
          <t>Active</t>
        </is>
      </c>
    </row>
    <row r="15" ht="15.6" customHeight="1">
      <c r="A15" s="11">
        <f>ROW()-ROW($A$2)</f>
        <v/>
      </c>
      <c r="B15" s="7" t="inlineStr">
        <is>
          <t>Naresh Raju Lavari</t>
        </is>
      </c>
      <c r="C15" s="12" t="n"/>
      <c r="D15" s="12" t="n"/>
      <c r="E15" s="68" t="n"/>
      <c r="F15" s="73" t="n"/>
      <c r="G15" s="73" t="n"/>
      <c r="H15" s="74">
        <f>SUM(F15:G15)</f>
        <v/>
      </c>
      <c r="I15" s="75" t="n"/>
      <c r="J15" s="76">
        <f>SUM(H15*I15)</f>
        <v/>
      </c>
      <c r="K15" s="8" t="n"/>
      <c r="L15" s="77" t="n"/>
      <c r="M15" s="13" t="n"/>
      <c r="N15" s="27" t="n"/>
      <c r="O15" s="13" t="n"/>
      <c r="P15" s="13" t="n"/>
      <c r="Q15" t="inlineStr">
        <is>
          <t>EMP-92228FDD</t>
        </is>
      </c>
      <c r="R15" t="inlineStr">
        <is>
          <t>Active</t>
        </is>
      </c>
    </row>
    <row r="16" ht="15.6" customHeight="1">
      <c r="A16" s="11">
        <f>ROW()-ROW($A$2)</f>
        <v/>
      </c>
      <c r="B16" s="7" t="inlineStr">
        <is>
          <t>Jaswant Pravin Misad</t>
        </is>
      </c>
      <c r="C16" s="12" t="n"/>
      <c r="D16" s="12" t="n"/>
      <c r="E16" s="68" t="n"/>
      <c r="F16" s="73" t="n"/>
      <c r="G16" s="73" t="n"/>
      <c r="H16" s="74">
        <f>SUM(F16:G16)</f>
        <v/>
      </c>
      <c r="I16" s="75" t="n"/>
      <c r="J16" s="76">
        <f>SUM(H16*I16)</f>
        <v/>
      </c>
      <c r="K16" s="8" t="n"/>
      <c r="L16" s="77" t="n"/>
      <c r="M16" s="13" t="n"/>
      <c r="N16" s="27" t="n"/>
      <c r="O16" s="13" t="n"/>
      <c r="P16" s="13" t="n"/>
      <c r="Q16" t="inlineStr">
        <is>
          <t>EMP-1A87D315</t>
        </is>
      </c>
      <c r="R16" t="inlineStr">
        <is>
          <t>Active</t>
        </is>
      </c>
    </row>
    <row r="17" ht="15.6" customHeight="1">
      <c r="A17" s="11">
        <f>ROW()-ROW($A$2)</f>
        <v/>
      </c>
      <c r="B17" s="7" t="inlineStr">
        <is>
          <t>Harsha Vijay Kasad</t>
        </is>
      </c>
      <c r="C17" s="12" t="n"/>
      <c r="D17" s="12" t="n"/>
      <c r="E17" s="68" t="n"/>
      <c r="F17" s="73" t="n"/>
      <c r="G17" s="73" t="n"/>
      <c r="H17" s="74">
        <f>SUM(F17:G17)</f>
        <v/>
      </c>
      <c r="I17" s="75" t="n"/>
      <c r="J17" s="76">
        <f>SUM(H17*I17)</f>
        <v/>
      </c>
      <c r="K17" s="8" t="n"/>
      <c r="L17" s="77" t="n"/>
      <c r="M17" s="13" t="n"/>
      <c r="N17" s="27" t="n"/>
      <c r="O17" s="13" t="n"/>
      <c r="P17" s="13" t="n"/>
      <c r="Q17" t="inlineStr">
        <is>
          <t>EMP-C411299A</t>
        </is>
      </c>
      <c r="R17" t="inlineStr">
        <is>
          <t>Active</t>
        </is>
      </c>
    </row>
    <row r="18" ht="15.6" customHeight="1">
      <c r="A18" s="11">
        <f>ROW()-ROW($A$2)</f>
        <v/>
      </c>
      <c r="B18" s="7" t="inlineStr">
        <is>
          <t>Samir Imtiyaz Shekh</t>
        </is>
      </c>
      <c r="C18" s="12" t="n"/>
      <c r="D18" s="12" t="n"/>
      <c r="E18" s="68" t="n"/>
      <c r="F18" s="73" t="n"/>
      <c r="G18" s="73" t="n"/>
      <c r="H18" s="74">
        <f>SUM(F18:G18)</f>
        <v/>
      </c>
      <c r="I18" s="75" t="n"/>
      <c r="J18" s="76">
        <f>SUM(H18*I18)</f>
        <v/>
      </c>
      <c r="K18" s="8" t="n"/>
      <c r="L18" s="77" t="n"/>
      <c r="M18" s="13" t="n"/>
      <c r="N18" s="27" t="n"/>
      <c r="O18" s="13" t="n"/>
      <c r="P18" s="13" t="n"/>
      <c r="Q18" t="inlineStr">
        <is>
          <t>EMP-26C31E39</t>
        </is>
      </c>
      <c r="R18" t="inlineStr">
        <is>
          <t>Active</t>
        </is>
      </c>
    </row>
    <row r="19" ht="15.6" customHeight="1">
      <c r="A19" s="11">
        <f>ROW()-ROW($A$2)</f>
        <v/>
      </c>
      <c r="B19" s="7" t="inlineStr">
        <is>
          <t>Deepak Anand Madvi</t>
        </is>
      </c>
      <c r="C19" s="12" t="n"/>
      <c r="D19" s="12" t="n"/>
      <c r="E19" s="68" t="n"/>
      <c r="F19" s="73" t="n"/>
      <c r="G19" s="73" t="n"/>
      <c r="H19" s="74">
        <f>SUM(F19:G19)</f>
        <v/>
      </c>
      <c r="I19" s="75" t="n"/>
      <c r="J19" s="76">
        <f>SUM(H19*I19)</f>
        <v/>
      </c>
      <c r="K19" s="8" t="n"/>
      <c r="L19" s="77" t="n"/>
      <c r="M19" s="13" t="n"/>
      <c r="N19" s="27" t="n"/>
      <c r="O19" s="13" t="n"/>
      <c r="P19" s="13" t="n"/>
      <c r="Q19" t="inlineStr">
        <is>
          <t>EMP-0D754863</t>
        </is>
      </c>
      <c r="R19" t="inlineStr">
        <is>
          <t>Active</t>
        </is>
      </c>
    </row>
    <row r="20" ht="15.6" customHeight="1">
      <c r="A20" s="11">
        <f>ROW()-ROW($A$2)</f>
        <v/>
      </c>
      <c r="B20" s="7" t="inlineStr">
        <is>
          <t>Kunal Mahesh Misad</t>
        </is>
      </c>
      <c r="C20" s="12" t="n"/>
      <c r="D20" s="12" t="n"/>
      <c r="E20" s="68" t="n"/>
      <c r="F20" s="73" t="n"/>
      <c r="G20" s="73" t="n"/>
      <c r="H20" s="74">
        <f>SUM(F20:G20)</f>
        <v/>
      </c>
      <c r="I20" s="75" t="n"/>
      <c r="J20" s="76">
        <f>SUM(H20*I20)</f>
        <v/>
      </c>
      <c r="K20" s="8" t="n"/>
      <c r="L20" s="77" t="n"/>
      <c r="M20" s="13" t="n"/>
      <c r="N20" s="27" t="n"/>
      <c r="O20" s="13" t="n"/>
      <c r="P20" s="13" t="n"/>
      <c r="Q20" t="inlineStr">
        <is>
          <t>EMP-5148479E</t>
        </is>
      </c>
      <c r="R20" t="inlineStr">
        <is>
          <t>Active</t>
        </is>
      </c>
    </row>
    <row r="21" ht="15.6" customHeight="1">
      <c r="A21" s="11">
        <f>ROW()-ROW($A$2)</f>
        <v/>
      </c>
      <c r="B21" s="7" t="inlineStr">
        <is>
          <t>Nandan Pravin Misad</t>
        </is>
      </c>
      <c r="C21" s="12" t="n"/>
      <c r="D21" s="12" t="n"/>
      <c r="E21" s="68" t="n"/>
      <c r="F21" s="73" t="n"/>
      <c r="G21" s="73" t="n"/>
      <c r="H21" s="74">
        <f>SUM(F21:G21)</f>
        <v/>
      </c>
      <c r="I21" s="75" t="n"/>
      <c r="J21" s="76">
        <f>SUM(H21*I21)</f>
        <v/>
      </c>
      <c r="K21" s="8" t="n"/>
      <c r="L21" s="77" t="n"/>
      <c r="M21" s="13" t="n"/>
      <c r="N21" s="27" t="n"/>
      <c r="O21" s="13" t="n"/>
      <c r="P21" s="13" t="n"/>
      <c r="Q21" t="inlineStr">
        <is>
          <t>EMP-714C10F9</t>
        </is>
      </c>
      <c r="R21" t="inlineStr">
        <is>
          <t>Active</t>
        </is>
      </c>
    </row>
    <row r="22" ht="15.6" customHeight="1">
      <c r="A22" s="11">
        <f>ROW()-ROW($A$2)</f>
        <v/>
      </c>
      <c r="B22" s="7" t="inlineStr">
        <is>
          <t>Akashbhai Santoshbhai Chaudhri</t>
        </is>
      </c>
      <c r="C22" s="12" t="n"/>
      <c r="D22" s="12" t="n"/>
      <c r="E22" s="68" t="n"/>
      <c r="F22" s="73" t="n"/>
      <c r="G22" s="73" t="n"/>
      <c r="H22" s="74">
        <f>SUM(F22:G22)</f>
        <v/>
      </c>
      <c r="I22" s="75" t="n"/>
      <c r="J22" s="76">
        <f>SUM(H22*I22)</f>
        <v/>
      </c>
      <c r="K22" s="8" t="n"/>
      <c r="L22" s="77" t="n"/>
      <c r="M22" s="13" t="n"/>
      <c r="N22" s="27" t="n"/>
      <c r="O22" s="13" t="n"/>
      <c r="P22" s="13" t="n"/>
      <c r="Q22" t="inlineStr">
        <is>
          <t>EMP-733176E3</t>
        </is>
      </c>
      <c r="R22" t="inlineStr">
        <is>
          <t>Active</t>
        </is>
      </c>
    </row>
    <row r="23" ht="15.6" customHeight="1">
      <c r="A23" s="11">
        <f>ROW()-ROW($A$2)</f>
        <v/>
      </c>
      <c r="B23" s="7" t="inlineStr">
        <is>
          <t>Pareshbhai Prakashbhai Lavre</t>
        </is>
      </c>
      <c r="C23" s="12" t="n"/>
      <c r="D23" s="12" t="n"/>
      <c r="E23" s="68" t="n"/>
      <c r="F23" s="73" t="n"/>
      <c r="G23" s="73" t="n"/>
      <c r="H23" s="74">
        <f>SUM(F23:G23)</f>
        <v/>
      </c>
      <c r="I23" s="75" t="n"/>
      <c r="J23" s="76">
        <f>SUM(H23*I23)</f>
        <v/>
      </c>
      <c r="K23" s="8" t="n"/>
      <c r="L23" s="77" t="n"/>
      <c r="M23" s="13" t="n"/>
      <c r="N23" s="27" t="n"/>
      <c r="O23" s="13" t="n"/>
      <c r="P23" s="13" t="n"/>
      <c r="Q23" t="inlineStr">
        <is>
          <t>EMP-1C9A0FFE</t>
        </is>
      </c>
      <c r="R23" t="inlineStr">
        <is>
          <t>Active</t>
        </is>
      </c>
    </row>
    <row r="24" ht="15.6" customHeight="1">
      <c r="A24" s="11">
        <f>ROW()-ROW($A$2)</f>
        <v/>
      </c>
      <c r="B24" s="7" t="inlineStr">
        <is>
          <t>Savdhanji Khodaji Thakor</t>
        </is>
      </c>
      <c r="C24" s="12" t="n"/>
      <c r="D24" s="12" t="n"/>
      <c r="E24" s="68" t="n"/>
      <c r="F24" s="73" t="n"/>
      <c r="G24" s="73" t="n"/>
      <c r="H24" s="74">
        <f>SUM(F24:G24)</f>
        <v/>
      </c>
      <c r="I24" s="75" t="n"/>
      <c r="J24" s="76">
        <f>SUM(H24*I24)</f>
        <v/>
      </c>
      <c r="K24" s="8" t="n"/>
      <c r="L24" s="77" t="n"/>
      <c r="M24" s="13" t="n"/>
      <c r="N24" s="27" t="n"/>
      <c r="O24" s="13" t="n"/>
      <c r="P24" s="13" t="n"/>
      <c r="Q24" t="inlineStr">
        <is>
          <t>EMP-D254DB31</t>
        </is>
      </c>
      <c r="R24" t="inlineStr">
        <is>
          <t>Active</t>
        </is>
      </c>
    </row>
    <row r="25" ht="15.6" customHeight="1">
      <c r="A25" s="11">
        <f>ROW()-ROW($A$2)</f>
        <v/>
      </c>
      <c r="B25" s="7" t="inlineStr">
        <is>
          <t>Vijay Ramtuji Thakor</t>
        </is>
      </c>
      <c r="C25" s="12" t="n"/>
      <c r="D25" s="12" t="n"/>
      <c r="E25" s="68" t="n"/>
      <c r="F25" s="73" t="n"/>
      <c r="G25" s="73" t="n"/>
      <c r="H25" s="74">
        <f>SUM(F25:G25)</f>
        <v/>
      </c>
      <c r="I25" s="75" t="n"/>
      <c r="J25" s="76">
        <f>SUM(H25*I25)</f>
        <v/>
      </c>
      <c r="K25" s="8" t="n"/>
      <c r="L25" s="77" t="n"/>
      <c r="M25" s="13" t="n"/>
      <c r="N25" s="27" t="n"/>
      <c r="O25" s="13" t="n"/>
      <c r="P25" s="13" t="n"/>
      <c r="Q25" t="inlineStr">
        <is>
          <t>EMP-4BEDE9A4</t>
        </is>
      </c>
      <c r="R25" t="inlineStr">
        <is>
          <t>Active</t>
        </is>
      </c>
    </row>
    <row r="26" ht="15.6" customHeight="1">
      <c r="A26" s="11">
        <f>ROW()-ROW($A$2)</f>
        <v/>
      </c>
      <c r="B26" s="7" t="inlineStr">
        <is>
          <t>Sanjayji Tasaji Thakor</t>
        </is>
      </c>
      <c r="C26" s="12" t="n"/>
      <c r="D26" s="12" t="n"/>
      <c r="E26" s="68" t="n"/>
      <c r="F26" s="73" t="n"/>
      <c r="G26" s="73" t="n"/>
      <c r="H26" s="74">
        <f>SUM(F26:G26)</f>
        <v/>
      </c>
      <c r="I26" s="75" t="n"/>
      <c r="J26" s="76">
        <f>SUM(H26*I26)</f>
        <v/>
      </c>
      <c r="K26" s="8" t="n"/>
      <c r="L26" s="77" t="n"/>
      <c r="M26" s="13" t="n"/>
      <c r="N26" s="27" t="n"/>
      <c r="O26" s="13" t="n"/>
      <c r="P26" s="13" t="n"/>
      <c r="Q26" t="inlineStr">
        <is>
          <t>EMP-4B9893B0</t>
        </is>
      </c>
      <c r="R26" t="inlineStr">
        <is>
          <t>Active</t>
        </is>
      </c>
    </row>
    <row r="27" ht="15.6" customHeight="1">
      <c r="A27" s="11">
        <f>ROW()-ROW($A$2)</f>
        <v/>
      </c>
      <c r="B27" s="7" t="inlineStr">
        <is>
          <t>Jignesh Mayaben Goswami</t>
        </is>
      </c>
      <c r="C27" s="12" t="n"/>
      <c r="D27" s="12" t="n"/>
      <c r="E27" s="68" t="n"/>
      <c r="F27" s="73" t="n"/>
      <c r="G27" s="73" t="n"/>
      <c r="H27" s="74">
        <f>SUM(F27:G27)</f>
        <v/>
      </c>
      <c r="I27" s="75" t="n"/>
      <c r="J27" s="76">
        <f>SUM(H27*I27)</f>
        <v/>
      </c>
      <c r="K27" s="8" t="n"/>
      <c r="L27" s="77" t="n"/>
      <c r="M27" s="13" t="n"/>
      <c r="N27" s="27" t="n"/>
      <c r="O27" s="13" t="n"/>
      <c r="P27" s="13" t="n"/>
      <c r="Q27" t="inlineStr">
        <is>
          <t>EMP-FBEF9DC9</t>
        </is>
      </c>
      <c r="R27" t="inlineStr">
        <is>
          <t>Active</t>
        </is>
      </c>
    </row>
    <row r="28" ht="15.6" customHeight="1">
      <c r="A28" s="11">
        <f>ROW()-ROW($A$2)</f>
        <v/>
      </c>
      <c r="B28" s="7" t="inlineStr">
        <is>
          <t>Sureshbhai Gandabhai Ravad</t>
        </is>
      </c>
      <c r="C28" s="12" t="n"/>
      <c r="D28" s="12" t="n"/>
      <c r="E28" s="68" t="n"/>
      <c r="F28" s="73" t="n"/>
      <c r="G28" s="73" t="n"/>
      <c r="H28" s="74">
        <f>SUM(F28:G28)</f>
        <v/>
      </c>
      <c r="I28" s="75" t="n"/>
      <c r="J28" s="76">
        <f>SUM(H28*I28)</f>
        <v/>
      </c>
      <c r="K28" s="8" t="n"/>
      <c r="L28" s="77" t="n"/>
      <c r="M28" s="13" t="n"/>
      <c r="N28" s="27" t="n"/>
      <c r="O28" s="13" t="n"/>
      <c r="P28" s="13" t="n"/>
      <c r="Q28" t="inlineStr">
        <is>
          <t>EMP-5F05F23B</t>
        </is>
      </c>
      <c r="R28" t="inlineStr">
        <is>
          <t>Active</t>
        </is>
      </c>
    </row>
    <row r="29" ht="15.6" customHeight="1">
      <c r="A29" s="11">
        <f>ROW()-ROW($A$2)</f>
        <v/>
      </c>
      <c r="B29" s="7" t="inlineStr">
        <is>
          <t>Sidhdharaj Arjunsinh Solanki</t>
        </is>
      </c>
      <c r="C29" s="12" t="n"/>
      <c r="D29" s="12" t="n"/>
      <c r="E29" s="68" t="n"/>
      <c r="F29" s="73" t="n"/>
      <c r="G29" s="73" t="n"/>
      <c r="H29" s="74">
        <f>SUM(F29:G29)</f>
        <v/>
      </c>
      <c r="I29" s="75" t="n"/>
      <c r="J29" s="76">
        <f>SUM(H29*I29)</f>
        <v/>
      </c>
      <c r="K29" s="8" t="n"/>
      <c r="L29" s="77" t="n"/>
      <c r="M29" s="13" t="n"/>
      <c r="N29" s="27" t="n"/>
      <c r="O29" s="13" t="n"/>
      <c r="P29" s="13" t="n"/>
      <c r="Q29" t="inlineStr">
        <is>
          <t>EMP-44725783</t>
        </is>
      </c>
      <c r="R29" t="inlineStr">
        <is>
          <t>Active</t>
        </is>
      </c>
    </row>
    <row r="30" ht="15.6" customHeight="1">
      <c r="A30" s="11">
        <f>ROW()-ROW($A$2)</f>
        <v/>
      </c>
      <c r="B30" s="7" t="inlineStr">
        <is>
          <t>Kishanbhai Laljibhai Dantani</t>
        </is>
      </c>
      <c r="C30" s="12" t="n"/>
      <c r="D30" s="12" t="n"/>
      <c r="E30" s="68" t="n"/>
      <c r="F30" s="73" t="n"/>
      <c r="G30" s="73" t="n"/>
      <c r="H30" s="74">
        <f>SUM(F30:G30)</f>
        <v/>
      </c>
      <c r="I30" s="75" t="n"/>
      <c r="J30" s="76">
        <f>SUM(H30*I30)</f>
        <v/>
      </c>
      <c r="K30" s="8" t="n"/>
      <c r="L30" s="77" t="n"/>
      <c r="M30" s="13" t="n"/>
      <c r="N30" s="27" t="n"/>
      <c r="O30" s="13" t="n"/>
      <c r="P30" s="13" t="n"/>
      <c r="Q30" t="inlineStr">
        <is>
          <t>EMP-639C3479</t>
        </is>
      </c>
      <c r="R30" t="inlineStr">
        <is>
          <t>Active</t>
        </is>
      </c>
    </row>
    <row r="31" ht="15.6" customHeight="1">
      <c r="A31" s="11">
        <f>ROW()-ROW($A$2)</f>
        <v/>
      </c>
      <c r="C31" s="12" t="n"/>
      <c r="D31" s="12" t="n"/>
      <c r="E31" s="68" t="n"/>
      <c r="F31" s="73" t="n"/>
      <c r="G31" s="73" t="n"/>
      <c r="H31" s="74">
        <f>SUM(F31:G31)</f>
        <v/>
      </c>
      <c r="I31" s="75" t="n"/>
      <c r="J31" s="76">
        <f>SUM(H31*I31)</f>
        <v/>
      </c>
      <c r="K31" s="8" t="n"/>
      <c r="L31" s="77" t="n"/>
      <c r="M31" s="13" t="n"/>
      <c r="N31" s="27" t="n"/>
      <c r="O31" s="13" t="n"/>
      <c r="P31" s="13" t="n"/>
    </row>
    <row r="32" ht="15.6" customHeight="1">
      <c r="A32" s="11">
        <f>ROW()-ROW($A$2)</f>
        <v/>
      </c>
      <c r="B32" s="7" t="n"/>
      <c r="C32" s="12" t="n"/>
      <c r="D32" s="12" t="n"/>
      <c r="E32" s="68" t="n"/>
      <c r="F32" s="73" t="n"/>
      <c r="G32" s="73" t="n"/>
      <c r="H32" s="74">
        <f>SUM(F32:G32)</f>
        <v/>
      </c>
      <c r="I32" s="75" t="n"/>
      <c r="J32" s="76">
        <f>SUM(H32*I32)</f>
        <v/>
      </c>
      <c r="K32" s="8" t="n"/>
      <c r="L32" s="77" t="n"/>
      <c r="M32" s="13" t="n"/>
      <c r="N32" s="27" t="n"/>
      <c r="O32" s="13" t="n"/>
      <c r="P32" s="13" t="n"/>
    </row>
    <row r="33" ht="15.6" customHeight="1">
      <c r="A33" s="11">
        <f>ROW()-ROW($A$2)</f>
        <v/>
      </c>
      <c r="B33" s="7" t="n"/>
      <c r="C33" s="12" t="n"/>
      <c r="D33" s="12" t="n"/>
      <c r="E33" s="68" t="n"/>
      <c r="F33" s="73" t="n"/>
      <c r="G33" s="73" t="n"/>
      <c r="H33" s="74">
        <f>SUM(F33:G33)</f>
        <v/>
      </c>
      <c r="I33" s="75" t="n"/>
      <c r="J33" s="76">
        <f>SUM(H33*I33)</f>
        <v/>
      </c>
      <c r="K33" s="8" t="n"/>
      <c r="L33" s="77" t="n"/>
      <c r="M33" s="13" t="n"/>
      <c r="N33" s="27" t="n"/>
      <c r="O33" s="13" t="n"/>
      <c r="P33" s="13" t="n"/>
    </row>
    <row r="34" ht="15.6" customHeight="1">
      <c r="A34" s="11">
        <f>ROW()-ROW($A$2)</f>
        <v/>
      </c>
      <c r="B34" s="7" t="n"/>
      <c r="C34" s="12" t="n"/>
      <c r="D34" s="12" t="n"/>
      <c r="E34" s="68" t="n"/>
      <c r="F34" s="73" t="n"/>
      <c r="G34" s="73" t="n"/>
      <c r="H34" s="74">
        <f>SUM(F34:G34)</f>
        <v/>
      </c>
      <c r="I34" s="75" t="n"/>
      <c r="J34" s="76">
        <f>SUM(H34*I34)</f>
        <v/>
      </c>
      <c r="K34" s="8" t="n"/>
      <c r="L34" s="77" t="n"/>
      <c r="M34" s="13" t="n"/>
      <c r="N34" s="27" t="n"/>
      <c r="O34" s="13" t="n"/>
      <c r="P34" s="13" t="n"/>
    </row>
    <row r="35" ht="15.6" customHeight="1">
      <c r="A35" s="11">
        <f>ROW()-ROW($A$2)</f>
        <v/>
      </c>
      <c r="B35" s="7" t="n"/>
      <c r="C35" s="12" t="n"/>
      <c r="D35" s="12" t="n"/>
      <c r="E35" s="68" t="n"/>
      <c r="F35" s="73" t="n"/>
      <c r="G35" s="73" t="n"/>
      <c r="H35" s="74">
        <f>SUM(F35:G35)</f>
        <v/>
      </c>
      <c r="I35" s="75" t="n"/>
      <c r="J35" s="76">
        <f>SUM(H35*I35)</f>
        <v/>
      </c>
      <c r="K35" s="8" t="n"/>
      <c r="L35" s="77" t="n"/>
      <c r="M35" s="13" t="n"/>
      <c r="N35" s="27" t="n"/>
      <c r="O35" s="13" t="n"/>
      <c r="P35" s="13" t="n"/>
    </row>
    <row r="36" ht="15.6" customHeight="1">
      <c r="A36" s="11">
        <f>ROW()-ROW($A$2)</f>
        <v/>
      </c>
      <c r="B36" s="7" t="n"/>
      <c r="C36" s="12" t="n"/>
      <c r="D36" s="12" t="n"/>
      <c r="E36" s="68" t="n"/>
      <c r="F36" s="73" t="n"/>
      <c r="G36" s="73" t="n"/>
      <c r="H36" s="74">
        <f>SUM(F36:G36)</f>
        <v/>
      </c>
      <c r="I36" s="75" t="n"/>
      <c r="J36" s="76">
        <f>SUM(H36*I36)</f>
        <v/>
      </c>
      <c r="K36" s="8" t="n"/>
      <c r="L36" s="77" t="n"/>
      <c r="M36" s="13" t="n"/>
      <c r="N36" s="27" t="n"/>
      <c r="O36" s="13" t="n"/>
      <c r="P36" s="13" t="n"/>
    </row>
    <row r="37" ht="15.6" customHeight="1">
      <c r="A37" s="11">
        <f>ROW()-ROW($A$2)</f>
        <v/>
      </c>
      <c r="B37" s="7" t="n"/>
      <c r="C37" s="12" t="n"/>
      <c r="D37" s="12" t="n"/>
      <c r="E37" s="68" t="n"/>
      <c r="F37" s="73" t="n"/>
      <c r="G37" s="73" t="n"/>
      <c r="H37" s="74">
        <f>SUM(F37:G37)</f>
        <v/>
      </c>
      <c r="I37" s="75" t="n"/>
      <c r="J37" s="76">
        <f>SUM(H37*I37)</f>
        <v/>
      </c>
      <c r="K37" s="8" t="n"/>
      <c r="L37" s="77" t="n"/>
      <c r="M37" s="13" t="n"/>
      <c r="N37" s="27" t="n"/>
      <c r="O37" s="13" t="n"/>
      <c r="P37" s="13" t="n"/>
    </row>
    <row r="38" ht="15.6" customHeight="1">
      <c r="A38" s="11">
        <f>ROW()-ROW($A$2)</f>
        <v/>
      </c>
      <c r="B38" s="7" t="n"/>
      <c r="C38" s="12" t="n"/>
      <c r="D38" s="12" t="n"/>
      <c r="E38" s="68" t="n"/>
      <c r="F38" s="73" t="n"/>
      <c r="G38" s="73" t="n"/>
      <c r="H38" s="74">
        <f>SUM(F38:G38)</f>
        <v/>
      </c>
      <c r="I38" s="75" t="n"/>
      <c r="J38" s="76">
        <f>SUM(H38*I38)</f>
        <v/>
      </c>
      <c r="K38" s="8" t="n"/>
      <c r="L38" s="77" t="n"/>
      <c r="M38" s="13" t="n"/>
      <c r="N38" s="27" t="n"/>
      <c r="O38" s="13" t="n"/>
      <c r="P38" s="13" t="n"/>
    </row>
    <row r="39" ht="15.6" customHeight="1">
      <c r="A39" s="11">
        <f>ROW()-ROW($A$2)</f>
        <v/>
      </c>
      <c r="B39" s="7" t="n"/>
      <c r="C39" s="12" t="n"/>
      <c r="D39" s="12" t="n"/>
      <c r="E39" s="68" t="n"/>
      <c r="F39" s="73" t="n"/>
      <c r="G39" s="73" t="n"/>
      <c r="H39" s="74">
        <f>SUM(F39:G39)</f>
        <v/>
      </c>
      <c r="I39" s="75" t="n"/>
      <c r="J39" s="76">
        <f>SUM(H39*I39)</f>
        <v/>
      </c>
      <c r="K39" s="8" t="n"/>
      <c r="L39" s="77" t="n"/>
      <c r="M39" s="13" t="n"/>
      <c r="N39" s="27" t="n"/>
      <c r="O39" s="13" t="n"/>
      <c r="P39" s="13" t="n"/>
    </row>
    <row r="40" ht="15.6" customHeight="1">
      <c r="A40" s="11">
        <f>ROW()-ROW($A$2)</f>
        <v/>
      </c>
      <c r="B40" s="7" t="n"/>
      <c r="C40" s="12" t="n"/>
      <c r="D40" s="12" t="n"/>
      <c r="E40" s="68" t="n"/>
      <c r="F40" s="73" t="n"/>
      <c r="G40" s="73" t="n"/>
      <c r="H40" s="74">
        <f>SUM(F40:G40)</f>
        <v/>
      </c>
      <c r="I40" s="75" t="n"/>
      <c r="J40" s="76">
        <f>SUM(H40*I40)</f>
        <v/>
      </c>
      <c r="K40" s="8" t="n"/>
      <c r="L40" s="77" t="n"/>
      <c r="M40" s="13" t="n"/>
      <c r="N40" s="27" t="n"/>
      <c r="O40" s="13" t="n"/>
      <c r="P40" s="13" t="n"/>
    </row>
    <row r="41" ht="15.6" customHeight="1">
      <c r="A41" s="11">
        <f>ROW()-ROW($A$2)</f>
        <v/>
      </c>
      <c r="B41" s="7" t="n"/>
      <c r="C41" s="12" t="n"/>
      <c r="D41" s="12" t="n"/>
      <c r="E41" s="68" t="n"/>
      <c r="F41" s="73" t="n"/>
      <c r="G41" s="73" t="n"/>
      <c r="H41" s="74">
        <f>SUM(F41:G41)</f>
        <v/>
      </c>
      <c r="I41" s="75" t="n"/>
      <c r="J41" s="76">
        <f>SUM(H41*I41)</f>
        <v/>
      </c>
      <c r="K41" s="8" t="n"/>
      <c r="L41" s="77" t="n"/>
      <c r="M41" s="13" t="n"/>
      <c r="N41" s="27" t="n"/>
      <c r="O41" s="13" t="n"/>
      <c r="P41" s="13" t="n"/>
    </row>
    <row r="42" ht="15.6" customHeight="1">
      <c r="A42" s="11">
        <f>ROW()-ROW($A$2)</f>
        <v/>
      </c>
      <c r="B42" s="7" t="n"/>
      <c r="C42" s="12" t="n"/>
      <c r="D42" s="12" t="n"/>
      <c r="E42" s="68" t="n"/>
      <c r="F42" s="73" t="n"/>
      <c r="G42" s="73" t="n"/>
      <c r="H42" s="74">
        <f>SUM(F42:G42)</f>
        <v/>
      </c>
      <c r="I42" s="75" t="n"/>
      <c r="J42" s="76">
        <f>SUM(H42*I42)</f>
        <v/>
      </c>
      <c r="K42" s="8" t="n"/>
      <c r="L42" s="77" t="n"/>
      <c r="M42" s="13" t="n"/>
      <c r="N42" s="27" t="n"/>
      <c r="O42" s="13" t="n"/>
      <c r="P42" s="13" t="n"/>
    </row>
    <row r="43" ht="15.6" customHeight="1">
      <c r="A43" s="11">
        <f>ROW()-ROW($A$2)</f>
        <v/>
      </c>
      <c r="B43" s="7" t="n"/>
      <c r="C43" s="12" t="n"/>
      <c r="D43" s="12" t="n"/>
      <c r="E43" s="68" t="n"/>
      <c r="F43" s="73" t="n"/>
      <c r="G43" s="73" t="n"/>
      <c r="H43" s="74">
        <f>SUM(F43:G43)</f>
        <v/>
      </c>
      <c r="I43" s="75" t="n"/>
      <c r="J43" s="76">
        <f>SUM(H43*I43)</f>
        <v/>
      </c>
      <c r="K43" s="8" t="n"/>
      <c r="L43" s="77" t="n"/>
      <c r="M43" s="13" t="n"/>
      <c r="N43" s="27" t="n"/>
      <c r="O43" s="13" t="n"/>
      <c r="P43" s="13" t="n"/>
    </row>
    <row r="44" ht="15.6" customHeight="1">
      <c r="A44" s="11">
        <f>ROW()-ROW($A$2)</f>
        <v/>
      </c>
      <c r="B44" s="7" t="n"/>
      <c r="C44" s="12" t="n"/>
      <c r="D44" s="12" t="n"/>
      <c r="E44" s="68" t="n"/>
      <c r="F44" s="73" t="n"/>
      <c r="G44" s="73" t="n"/>
      <c r="H44" s="74">
        <f>SUM(F44:G44)</f>
        <v/>
      </c>
      <c r="I44" s="75" t="n"/>
      <c r="J44" s="76">
        <f>SUM(H44*I44)</f>
        <v/>
      </c>
      <c r="K44" s="8" t="n"/>
      <c r="L44" s="77" t="n"/>
      <c r="M44" s="13" t="n"/>
      <c r="N44" s="27" t="n"/>
      <c r="O44" s="13" t="n"/>
      <c r="P44" s="13" t="n"/>
    </row>
    <row r="45" ht="15.6" customHeight="1">
      <c r="A45" s="11">
        <f>ROW()-ROW($A$2)</f>
        <v/>
      </c>
      <c r="B45" s="7" t="n"/>
      <c r="C45" s="12" t="n"/>
      <c r="D45" s="12" t="n"/>
      <c r="E45" s="68" t="n"/>
      <c r="F45" s="73" t="n"/>
      <c r="G45" s="73" t="n"/>
      <c r="H45" s="74">
        <f>SUM(F45:G45)</f>
        <v/>
      </c>
      <c r="I45" s="75" t="n"/>
      <c r="J45" s="76">
        <f>SUM(H45*I45)</f>
        <v/>
      </c>
      <c r="K45" s="8" t="n"/>
      <c r="L45" s="77" t="n"/>
      <c r="M45" s="13" t="n"/>
      <c r="N45" s="27" t="n"/>
      <c r="O45" s="13" t="n"/>
      <c r="P45" s="13" t="n"/>
    </row>
    <row r="46" ht="15.6" customHeight="1">
      <c r="A46" s="11">
        <f>ROW()-ROW($A$2)</f>
        <v/>
      </c>
      <c r="B46" s="7" t="n"/>
      <c r="C46" s="12" t="n"/>
      <c r="D46" s="12" t="n"/>
      <c r="E46" s="68" t="n"/>
      <c r="F46" s="73" t="n"/>
      <c r="G46" s="73" t="n"/>
      <c r="H46" s="74">
        <f>SUM(F46:G46)</f>
        <v/>
      </c>
      <c r="I46" s="75" t="n"/>
      <c r="J46" s="76">
        <f>SUM(H46*I46)</f>
        <v/>
      </c>
      <c r="K46" s="8" t="n"/>
      <c r="L46" s="77" t="n"/>
      <c r="M46" s="13" t="n"/>
      <c r="N46" s="27" t="n"/>
      <c r="O46" s="13" t="n"/>
      <c r="P46" s="13" t="n"/>
    </row>
    <row r="47" ht="15.6" customHeight="1">
      <c r="A47" s="11">
        <f>ROW()-ROW($A$2)</f>
        <v/>
      </c>
      <c r="B47" s="7" t="n"/>
      <c r="C47" s="12" t="n"/>
      <c r="D47" s="12" t="n"/>
      <c r="E47" s="68" t="n"/>
      <c r="F47" s="73" t="n"/>
      <c r="G47" s="73" t="n"/>
      <c r="H47" s="74">
        <f>SUM(F47:G47)</f>
        <v/>
      </c>
      <c r="I47" s="75" t="n"/>
      <c r="J47" s="76">
        <f>SUM(H47*I47)</f>
        <v/>
      </c>
      <c r="K47" s="8" t="n"/>
      <c r="L47" s="77" t="n"/>
      <c r="M47" s="13" t="n"/>
      <c r="N47" s="27" t="n"/>
      <c r="O47" s="13" t="n"/>
      <c r="P47" s="13" t="n"/>
    </row>
    <row r="48" ht="15.6" customHeight="1">
      <c r="A48" s="11">
        <f>ROW()-ROW($A$2)</f>
        <v/>
      </c>
      <c r="B48" s="7" t="n"/>
      <c r="C48" s="12" t="n"/>
      <c r="D48" s="12" t="n"/>
      <c r="E48" s="68" t="n"/>
      <c r="F48" s="73" t="n"/>
      <c r="G48" s="73" t="n"/>
      <c r="H48" s="74">
        <f>SUM(F48:G48)</f>
        <v/>
      </c>
      <c r="I48" s="75" t="n"/>
      <c r="J48" s="76">
        <f>SUM(H48*I48)</f>
        <v/>
      </c>
      <c r="K48" s="8" t="n"/>
      <c r="L48" s="77" t="n"/>
      <c r="M48" s="13" t="n"/>
      <c r="N48" s="27" t="n"/>
      <c r="O48" s="13" t="n"/>
      <c r="P48" s="13" t="n"/>
    </row>
    <row r="49" ht="15.6" customHeight="1">
      <c r="A49" s="11">
        <f>ROW()-ROW($A$2)</f>
        <v/>
      </c>
      <c r="B49" s="7" t="n"/>
      <c r="C49" s="12" t="n"/>
      <c r="D49" s="12" t="n"/>
      <c r="E49" s="68" t="n"/>
      <c r="F49" s="73" t="n"/>
      <c r="G49" s="73" t="n"/>
      <c r="H49" s="74">
        <f>SUM(F49:G49)</f>
        <v/>
      </c>
      <c r="I49" s="75" t="n"/>
      <c r="J49" s="76">
        <f>SUM(H49*I49)</f>
        <v/>
      </c>
      <c r="K49" s="8" t="n"/>
      <c r="L49" s="77" t="n"/>
      <c r="M49" s="13" t="n"/>
      <c r="N49" s="27" t="n"/>
      <c r="O49" s="13" t="n"/>
      <c r="P49" s="13" t="n"/>
    </row>
    <row r="50" ht="15.6" customHeight="1">
      <c r="A50" s="11">
        <f>ROW()-ROW($A$2)</f>
        <v/>
      </c>
      <c r="B50" s="7" t="n"/>
      <c r="C50" s="12" t="n"/>
      <c r="D50" s="12" t="n"/>
      <c r="E50" s="68" t="n"/>
      <c r="F50" s="73" t="n"/>
      <c r="G50" s="73" t="n"/>
      <c r="H50" s="74">
        <f>SUM(F50:G50)</f>
        <v/>
      </c>
      <c r="I50" s="75" t="n"/>
      <c r="J50" s="76">
        <f>SUM(H50*I50)</f>
        <v/>
      </c>
      <c r="K50" s="8" t="n"/>
      <c r="L50" s="77" t="n"/>
      <c r="M50" s="13" t="n"/>
      <c r="N50" s="27" t="n"/>
      <c r="O50" s="13" t="n"/>
      <c r="P50" s="13" t="n"/>
    </row>
    <row r="51" ht="15.6" customHeight="1">
      <c r="A51" s="11">
        <f>ROW()-ROW($A$2)</f>
        <v/>
      </c>
      <c r="B51" s="7" t="n"/>
      <c r="C51" s="12" t="n"/>
      <c r="D51" s="12" t="n"/>
      <c r="E51" s="68" t="n"/>
      <c r="F51" s="73" t="n"/>
      <c r="G51" s="73" t="n"/>
      <c r="H51" s="74">
        <f>SUM(F51:G51)</f>
        <v/>
      </c>
      <c r="I51" s="75" t="n"/>
      <c r="J51" s="76">
        <f>SUM(H51*I51)</f>
        <v/>
      </c>
      <c r="K51" s="8" t="n"/>
      <c r="L51" s="77" t="n"/>
      <c r="M51" s="13" t="n"/>
      <c r="N51" s="27" t="n"/>
      <c r="O51" s="13" t="n"/>
      <c r="P51" s="13" t="n"/>
    </row>
    <row r="52" ht="15.6" customHeight="1">
      <c r="A52" s="11">
        <f>ROW()-ROW($A$2)</f>
        <v/>
      </c>
      <c r="B52" s="7" t="n"/>
      <c r="C52" s="12" t="n"/>
      <c r="D52" s="12" t="n"/>
      <c r="E52" s="68" t="n"/>
      <c r="F52" s="73" t="n"/>
      <c r="G52" s="73" t="n"/>
      <c r="H52" s="74">
        <f>SUM(F52:G52)</f>
        <v/>
      </c>
      <c r="I52" s="75" t="n"/>
      <c r="J52" s="76">
        <f>SUM(H52*I52)</f>
        <v/>
      </c>
      <c r="K52" s="8" t="n"/>
      <c r="L52" s="77" t="n"/>
      <c r="M52" s="13" t="n"/>
      <c r="N52" s="27" t="n"/>
      <c r="O52" s="13" t="n"/>
      <c r="P52" s="13" t="n"/>
    </row>
    <row r="53" ht="15.6" customHeight="1">
      <c r="A53" s="11">
        <f>ROW()-ROW($A$2)</f>
        <v/>
      </c>
      <c r="B53" s="7" t="n"/>
      <c r="C53" s="12" t="n"/>
      <c r="D53" s="12" t="n"/>
      <c r="E53" s="68" t="n"/>
      <c r="F53" s="73" t="n"/>
      <c r="G53" s="73" t="n"/>
      <c r="H53" s="74">
        <f>SUM(F53:G53)</f>
        <v/>
      </c>
      <c r="I53" s="75" t="n"/>
      <c r="J53" s="76">
        <f>SUM(H53*I53)</f>
        <v/>
      </c>
      <c r="K53" s="8" t="n"/>
      <c r="L53" s="77" t="n"/>
      <c r="M53" s="13" t="n"/>
      <c r="N53" s="27" t="n"/>
      <c r="O53" s="13" t="n"/>
      <c r="P53" s="13" t="n"/>
    </row>
    <row r="54" ht="15.6" customHeight="1">
      <c r="A54" s="11">
        <f>ROW()-ROW($A$2)</f>
        <v/>
      </c>
      <c r="B54" s="7" t="n"/>
      <c r="C54" s="12" t="n"/>
      <c r="D54" s="12" t="n"/>
      <c r="E54" s="68" t="n"/>
      <c r="F54" s="73" t="n"/>
      <c r="G54" s="73" t="n"/>
      <c r="H54" s="74">
        <f>SUM(F54:G54)</f>
        <v/>
      </c>
      <c r="I54" s="75" t="n"/>
      <c r="J54" s="76">
        <f>SUM(H54*I54)</f>
        <v/>
      </c>
      <c r="K54" s="8" t="n"/>
      <c r="L54" s="77" t="n"/>
      <c r="M54" s="13" t="n"/>
      <c r="N54" s="27" t="n"/>
      <c r="O54" s="13" t="n"/>
      <c r="P54" s="13" t="n"/>
    </row>
    <row r="55" ht="15.6" customHeight="1">
      <c r="A55" s="11">
        <f>ROW()-ROW($A$2)</f>
        <v/>
      </c>
      <c r="B55" s="7" t="n"/>
      <c r="C55" s="12" t="n"/>
      <c r="D55" s="12" t="n"/>
      <c r="E55" s="68" t="n"/>
      <c r="F55" s="73" t="n"/>
      <c r="G55" s="73" t="n"/>
      <c r="H55" s="74">
        <f>SUM(F55:G55)</f>
        <v/>
      </c>
      <c r="I55" s="75" t="n"/>
      <c r="J55" s="76">
        <f>SUM(H55*I55)</f>
        <v/>
      </c>
      <c r="K55" s="8" t="n"/>
      <c r="L55" s="77" t="n"/>
      <c r="M55" s="13" t="n"/>
      <c r="N55" s="27" t="n"/>
      <c r="O55" s="13" t="n"/>
      <c r="P55" s="13" t="n"/>
    </row>
    <row r="56" ht="15.6" customHeight="1">
      <c r="A56" s="11">
        <f>ROW()-ROW($A$2)</f>
        <v/>
      </c>
      <c r="B56" s="7" t="n"/>
      <c r="C56" s="12" t="n"/>
      <c r="D56" s="12" t="n"/>
      <c r="E56" s="68" t="n"/>
      <c r="F56" s="73" t="n"/>
      <c r="G56" s="73" t="n"/>
      <c r="H56" s="74">
        <f>SUM(F56:G56)</f>
        <v/>
      </c>
      <c r="I56" s="75" t="n"/>
      <c r="J56" s="76">
        <f>SUM(H56*I56)</f>
        <v/>
      </c>
      <c r="K56" s="8" t="n"/>
      <c r="L56" s="77" t="n"/>
      <c r="M56" s="13" t="n"/>
      <c r="N56" s="27" t="n"/>
      <c r="O56" s="13" t="n"/>
      <c r="P56" s="13" t="n"/>
    </row>
    <row r="57" ht="15.6" customHeight="1">
      <c r="A57" s="11">
        <f>ROW()-ROW($A$2)</f>
        <v/>
      </c>
      <c r="B57" s="7" t="n"/>
      <c r="C57" s="12" t="n"/>
      <c r="D57" s="12" t="n"/>
      <c r="E57" s="68" t="n"/>
      <c r="F57" s="73" t="n"/>
      <c r="G57" s="73" t="n"/>
      <c r="H57" s="74">
        <f>SUM(F57:G57)</f>
        <v/>
      </c>
      <c r="I57" s="75" t="n"/>
      <c r="J57" s="76">
        <f>SUM(H57*I57)</f>
        <v/>
      </c>
      <c r="K57" s="8" t="n"/>
      <c r="L57" s="77" t="n"/>
      <c r="M57" s="13" t="n"/>
      <c r="N57" s="27" t="n"/>
      <c r="O57" s="13" t="n"/>
      <c r="P57" s="13" t="n"/>
    </row>
    <row r="58" ht="15.6" customHeight="1">
      <c r="A58" s="11">
        <f>ROW()-ROW($A$2)</f>
        <v/>
      </c>
      <c r="B58" s="7" t="n"/>
      <c r="C58" s="12" t="n"/>
      <c r="D58" s="12" t="n"/>
      <c r="E58" s="68" t="n"/>
      <c r="F58" s="73" t="n"/>
      <c r="G58" s="73" t="n"/>
      <c r="H58" s="74">
        <f>SUM(F58:G58)</f>
        <v/>
      </c>
      <c r="I58" s="75" t="n"/>
      <c r="J58" s="76">
        <f>SUM(H58*I58)</f>
        <v/>
      </c>
      <c r="K58" s="8" t="n"/>
      <c r="L58" s="77" t="n"/>
      <c r="M58" s="13" t="n"/>
      <c r="N58" s="27" t="n"/>
      <c r="O58" s="13" t="n"/>
      <c r="P58" s="13" t="n"/>
    </row>
    <row r="59" ht="15.6" customHeight="1">
      <c r="A59" s="11">
        <f>ROW()-ROW($A$2)</f>
        <v/>
      </c>
      <c r="B59" s="7" t="n"/>
      <c r="C59" s="12" t="n"/>
      <c r="D59" s="12" t="n"/>
      <c r="E59" s="68" t="n"/>
      <c r="F59" s="73" t="n"/>
      <c r="G59" s="73" t="n"/>
      <c r="H59" s="74">
        <f>SUM(F59:G59)</f>
        <v/>
      </c>
      <c r="I59" s="75" t="n"/>
      <c r="J59" s="76">
        <f>SUM(H59*I59)</f>
        <v/>
      </c>
      <c r="K59" s="8" t="n"/>
      <c r="L59" s="77" t="n"/>
      <c r="M59" s="13" t="n"/>
      <c r="N59" s="27" t="n"/>
      <c r="O59" s="13" t="n"/>
      <c r="P59" s="13" t="n"/>
    </row>
    <row r="60" ht="15.6" customHeight="1">
      <c r="A60" s="11">
        <f>ROW()-ROW($A$2)</f>
        <v/>
      </c>
      <c r="B60" s="7" t="n"/>
      <c r="C60" s="12" t="n"/>
      <c r="D60" s="12" t="n"/>
      <c r="E60" s="68" t="n"/>
      <c r="F60" s="73" t="n"/>
      <c r="G60" s="73" t="n"/>
      <c r="H60" s="74">
        <f>SUM(F60:G60)</f>
        <v/>
      </c>
      <c r="I60" s="75" t="n"/>
      <c r="J60" s="76">
        <f>SUM(H60*I60)</f>
        <v/>
      </c>
      <c r="K60" s="8" t="n"/>
      <c r="L60" s="77" t="n"/>
      <c r="M60" s="13" t="n"/>
      <c r="N60" s="27" t="n"/>
      <c r="O60" s="13" t="n"/>
      <c r="P60" s="13" t="n"/>
    </row>
    <row r="61" ht="15.6" customHeight="1">
      <c r="A61" s="11">
        <f>ROW()-ROW($A$2)</f>
        <v/>
      </c>
      <c r="B61" s="7" t="n"/>
      <c r="C61" s="12" t="n"/>
      <c r="D61" s="12" t="n"/>
      <c r="E61" s="68" t="n"/>
      <c r="F61" s="73" t="n"/>
      <c r="G61" s="73" t="n"/>
      <c r="H61" s="74">
        <f>SUM(F61:G61)</f>
        <v/>
      </c>
      <c r="I61" s="75" t="n"/>
      <c r="J61" s="76">
        <f>SUM(H61*I61)</f>
        <v/>
      </c>
      <c r="K61" s="8" t="n"/>
      <c r="L61" s="77" t="n"/>
      <c r="M61" s="13" t="n"/>
      <c r="N61" s="27" t="n"/>
      <c r="O61" s="13" t="n"/>
      <c r="P61" s="13" t="n"/>
    </row>
    <row r="62" ht="15.6" customHeight="1">
      <c r="A62" s="11">
        <f>ROW()-ROW($A$2)</f>
        <v/>
      </c>
      <c r="B62" s="7" t="n"/>
      <c r="C62" s="12" t="n"/>
      <c r="D62" s="12" t="n"/>
      <c r="E62" s="68" t="n"/>
      <c r="F62" s="73" t="n"/>
      <c r="G62" s="73" t="n"/>
      <c r="H62" s="74">
        <f>SUM(F62:G62)</f>
        <v/>
      </c>
      <c r="I62" s="75" t="n"/>
      <c r="J62" s="76">
        <f>SUM(H62*I62)</f>
        <v/>
      </c>
      <c r="K62" s="8" t="n"/>
      <c r="L62" s="77" t="n"/>
      <c r="M62" s="13" t="n"/>
      <c r="N62" s="27" t="n"/>
      <c r="O62" s="13" t="n"/>
      <c r="P62" s="13" t="n"/>
    </row>
    <row r="63" ht="15.6" customHeight="1">
      <c r="A63" s="11">
        <f>ROW()-ROW($A$2)</f>
        <v/>
      </c>
      <c r="B63" s="7" t="n"/>
      <c r="C63" s="12" t="n"/>
      <c r="D63" s="12" t="n"/>
      <c r="E63" s="68" t="n"/>
      <c r="F63" s="73" t="n"/>
      <c r="G63" s="73" t="n"/>
      <c r="H63" s="74">
        <f>SUM(F63:G63)</f>
        <v/>
      </c>
      <c r="I63" s="75" t="n"/>
      <c r="J63" s="76">
        <f>SUM(H63*I63)</f>
        <v/>
      </c>
      <c r="K63" s="8" t="n"/>
      <c r="L63" s="77" t="n"/>
      <c r="M63" s="13" t="n"/>
      <c r="N63" s="27" t="n"/>
      <c r="O63" s="13" t="n"/>
      <c r="P63" s="13" t="n"/>
    </row>
    <row r="64" ht="15.6" customHeight="1">
      <c r="A64" s="11">
        <f>ROW()-ROW($A$2)</f>
        <v/>
      </c>
      <c r="B64" s="7" t="n"/>
      <c r="C64" s="12" t="n"/>
      <c r="D64" s="12" t="n"/>
      <c r="E64" s="68" t="n"/>
      <c r="F64" s="73" t="n"/>
      <c r="G64" s="73" t="n"/>
      <c r="H64" s="74">
        <f>SUM(F64:G64)</f>
        <v/>
      </c>
      <c r="I64" s="75" t="n"/>
      <c r="J64" s="76">
        <f>SUM(H64*I64)</f>
        <v/>
      </c>
      <c r="K64" s="8" t="n"/>
      <c r="L64" s="77" t="n"/>
      <c r="M64" s="13" t="n"/>
      <c r="N64" s="27" t="n"/>
      <c r="O64" s="13" t="n"/>
      <c r="P64" s="13" t="n"/>
    </row>
    <row r="65" ht="15.6" customHeight="1">
      <c r="A65" s="11">
        <f>ROW()-ROW($A$2)</f>
        <v/>
      </c>
      <c r="B65" s="7" t="n"/>
      <c r="C65" s="12" t="n"/>
      <c r="D65" s="12" t="n"/>
      <c r="E65" s="68" t="n"/>
      <c r="F65" s="73" t="n"/>
      <c r="G65" s="73" t="n"/>
      <c r="H65" s="74">
        <f>SUM(F65:G65)</f>
        <v/>
      </c>
      <c r="I65" s="75" t="n"/>
      <c r="J65" s="76">
        <f>SUM(H65*I65)</f>
        <v/>
      </c>
      <c r="K65" s="8" t="n"/>
      <c r="L65" s="77" t="n"/>
      <c r="M65" s="13" t="n"/>
      <c r="N65" s="27" t="n"/>
      <c r="O65" s="13" t="n"/>
      <c r="P65" s="13" t="n"/>
    </row>
    <row r="66" ht="15.6" customHeight="1">
      <c r="A66" s="11">
        <f>ROW()-ROW($A$2)</f>
        <v/>
      </c>
      <c r="B66" s="7" t="n"/>
      <c r="C66" s="12" t="n"/>
      <c r="D66" s="12" t="n"/>
      <c r="E66" s="68" t="n"/>
      <c r="F66" s="73" t="n"/>
      <c r="G66" s="73" t="n"/>
      <c r="H66" s="74">
        <f>SUM(F66:G66)</f>
        <v/>
      </c>
      <c r="I66" s="75" t="n"/>
      <c r="J66" s="76">
        <f>SUM(H66*I66)</f>
        <v/>
      </c>
      <c r="K66" s="8" t="n"/>
      <c r="L66" s="77" t="n"/>
      <c r="M66" s="13" t="n"/>
      <c r="N66" s="27" t="n"/>
      <c r="O66" s="13" t="n"/>
      <c r="P66" s="13" t="n"/>
    </row>
    <row r="67" ht="15.6" customHeight="1">
      <c r="A67" s="11">
        <f>ROW()-ROW($A$2)</f>
        <v/>
      </c>
      <c r="B67" s="7" t="n"/>
      <c r="C67" s="12" t="n"/>
      <c r="D67" s="12" t="n"/>
      <c r="E67" s="68" t="n"/>
      <c r="F67" s="73" t="n"/>
      <c r="G67" s="73" t="n"/>
      <c r="H67" s="74">
        <f>SUM(F67:G67)</f>
        <v/>
      </c>
      <c r="I67" s="75" t="n"/>
      <c r="J67" s="76">
        <f>SUM(H67*I67)</f>
        <v/>
      </c>
      <c r="K67" s="8" t="n"/>
      <c r="L67" s="77" t="n"/>
      <c r="M67" s="13" t="n"/>
      <c r="N67" s="27" t="n"/>
      <c r="O67" s="13" t="n"/>
      <c r="P67" s="13" t="n"/>
    </row>
    <row r="68" ht="15.6" customHeight="1">
      <c r="A68" s="11">
        <f>ROW()-ROW($A$2)</f>
        <v/>
      </c>
      <c r="B68" s="7" t="n"/>
      <c r="C68" s="12" t="n"/>
      <c r="D68" s="12" t="n"/>
      <c r="E68" s="68" t="n"/>
      <c r="F68" s="73" t="n"/>
      <c r="G68" s="73" t="n"/>
      <c r="H68" s="74">
        <f>SUM(F68:G68)</f>
        <v/>
      </c>
      <c r="I68" s="75" t="n"/>
      <c r="J68" s="76">
        <f>SUM(H68*I68)</f>
        <v/>
      </c>
      <c r="K68" s="8" t="n"/>
      <c r="L68" s="77" t="n"/>
      <c r="M68" s="13" t="n"/>
      <c r="N68" s="27" t="n"/>
      <c r="O68" s="13" t="n"/>
      <c r="P68" s="13" t="n"/>
    </row>
    <row r="69" ht="15.6" customHeight="1">
      <c r="A69" s="11">
        <f>ROW()-ROW($A$2)</f>
        <v/>
      </c>
      <c r="B69" s="7" t="n"/>
      <c r="C69" s="12" t="n"/>
      <c r="D69" s="12" t="n"/>
      <c r="E69" s="68" t="n"/>
      <c r="F69" s="73" t="n"/>
      <c r="G69" s="73" t="n"/>
      <c r="H69" s="74">
        <f>SUM(F69:G69)</f>
        <v/>
      </c>
      <c r="I69" s="75" t="n"/>
      <c r="J69" s="76">
        <f>SUM(H69*I69)</f>
        <v/>
      </c>
      <c r="K69" s="8" t="n"/>
      <c r="L69" s="77" t="n"/>
      <c r="M69" s="13" t="n"/>
      <c r="N69" s="27" t="n"/>
      <c r="O69" s="13" t="n"/>
      <c r="P69" s="13" t="n"/>
    </row>
    <row r="70" ht="15.6" customHeight="1">
      <c r="A70" s="11">
        <f>ROW()-ROW($A$2)</f>
        <v/>
      </c>
      <c r="B70" s="7" t="n"/>
      <c r="C70" s="12" t="n"/>
      <c r="D70" s="12" t="n"/>
      <c r="E70" s="68" t="n"/>
      <c r="F70" s="73" t="n"/>
      <c r="G70" s="73" t="n"/>
      <c r="H70" s="74">
        <f>SUM(F70:G70)</f>
        <v/>
      </c>
      <c r="I70" s="75" t="n"/>
      <c r="J70" s="76">
        <f>SUM(H70*I70)</f>
        <v/>
      </c>
      <c r="K70" s="8" t="n"/>
      <c r="L70" s="77" t="n"/>
      <c r="M70" s="13" t="n"/>
      <c r="N70" s="27" t="n"/>
      <c r="O70" s="13" t="n"/>
      <c r="P70" s="13" t="n"/>
    </row>
    <row r="71" ht="15.6" customHeight="1">
      <c r="A71" s="11">
        <f>ROW()-ROW($A$2)</f>
        <v/>
      </c>
      <c r="B71" s="7" t="n"/>
      <c r="C71" s="12" t="n"/>
      <c r="D71" s="12" t="n"/>
      <c r="E71" s="68" t="n"/>
      <c r="F71" s="73" t="n"/>
      <c r="G71" s="73" t="n"/>
      <c r="H71" s="74">
        <f>SUM(F71:G71)</f>
        <v/>
      </c>
      <c r="I71" s="75" t="n"/>
      <c r="J71" s="76">
        <f>SUM(H71*I71)</f>
        <v/>
      </c>
      <c r="K71" s="8" t="n"/>
      <c r="L71" s="77" t="n"/>
      <c r="M71" s="13" t="n"/>
      <c r="N71" s="27" t="n"/>
      <c r="O71" s="13" t="n"/>
      <c r="P71" s="13" t="n"/>
    </row>
    <row r="72" ht="15.6" customHeight="1">
      <c r="A72" s="11">
        <f>ROW()-ROW($A$2)</f>
        <v/>
      </c>
      <c r="B72" s="7" t="n"/>
      <c r="C72" s="12" t="n"/>
      <c r="D72" s="12" t="n"/>
      <c r="E72" s="68" t="n"/>
      <c r="F72" s="73" t="n"/>
      <c r="G72" s="73" t="n"/>
      <c r="H72" s="74">
        <f>SUM(F72:G72)</f>
        <v/>
      </c>
      <c r="I72" s="75" t="n"/>
      <c r="J72" s="76">
        <f>SUM(H72*I72)</f>
        <v/>
      </c>
      <c r="K72" s="8" t="n"/>
      <c r="L72" s="77" t="n"/>
      <c r="M72" s="13" t="n"/>
      <c r="N72" s="27" t="n"/>
      <c r="O72" s="13" t="n"/>
      <c r="P72" s="13" t="n"/>
    </row>
    <row r="73" ht="15.6" customHeight="1">
      <c r="A73" s="11">
        <f>ROW()-ROW($A$2)</f>
        <v/>
      </c>
      <c r="B73" s="7" t="n"/>
      <c r="C73" s="12" t="n"/>
      <c r="D73" s="12" t="n"/>
      <c r="E73" s="68" t="n"/>
      <c r="F73" s="73" t="n"/>
      <c r="G73" s="73" t="n"/>
      <c r="H73" s="74">
        <f>SUM(F73:G73)</f>
        <v/>
      </c>
      <c r="I73" s="75" t="n"/>
      <c r="J73" s="76">
        <f>SUM(H73*I73)</f>
        <v/>
      </c>
      <c r="K73" s="8" t="n"/>
      <c r="L73" s="77" t="n"/>
      <c r="M73" s="13" t="n"/>
      <c r="N73" s="27" t="n"/>
      <c r="O73" s="13" t="n"/>
      <c r="P73" s="13" t="n"/>
    </row>
    <row r="74" ht="15.6" customHeight="1">
      <c r="A74" s="11">
        <f>ROW()-ROW($A$2)</f>
        <v/>
      </c>
      <c r="B74" s="7" t="n"/>
      <c r="C74" s="12" t="n"/>
      <c r="D74" s="12" t="n"/>
      <c r="E74" s="68" t="n"/>
      <c r="F74" s="73" t="n"/>
      <c r="G74" s="73" t="n"/>
      <c r="H74" s="74">
        <f>SUM(F74:G74)</f>
        <v/>
      </c>
      <c r="I74" s="75" t="n"/>
      <c r="J74" s="76">
        <f>SUM(H74*I74)</f>
        <v/>
      </c>
      <c r="K74" s="8" t="n"/>
      <c r="L74" s="77" t="n"/>
      <c r="M74" s="13" t="n"/>
      <c r="N74" s="27" t="n"/>
      <c r="O74" s="13" t="n"/>
      <c r="P74" s="13" t="n"/>
    </row>
    <row r="75" ht="15.6" customHeight="1">
      <c r="A75" s="11">
        <f>ROW()-ROW($A$2)</f>
        <v/>
      </c>
      <c r="B75" s="7" t="n"/>
      <c r="C75" s="12" t="n"/>
      <c r="D75" s="12" t="n"/>
      <c r="E75" s="68" t="n"/>
      <c r="F75" s="73" t="n"/>
      <c r="G75" s="73" t="n"/>
      <c r="H75" s="74">
        <f>SUM(F75:G75)</f>
        <v/>
      </c>
      <c r="I75" s="75" t="n"/>
      <c r="J75" s="76">
        <f>SUM(H75*I75)</f>
        <v/>
      </c>
      <c r="K75" s="8" t="n"/>
      <c r="L75" s="77" t="n"/>
      <c r="M75" s="13" t="n"/>
      <c r="N75" s="27" t="n"/>
      <c r="O75" s="13" t="n"/>
      <c r="P75" s="13" t="n"/>
    </row>
    <row r="76" ht="15.6" customHeight="1">
      <c r="A76" s="11">
        <f>ROW()-ROW($A$2)</f>
        <v/>
      </c>
      <c r="B76" s="7" t="n"/>
      <c r="C76" s="12" t="n"/>
      <c r="D76" s="12" t="n"/>
      <c r="E76" s="68" t="n"/>
      <c r="F76" s="73" t="n"/>
      <c r="G76" s="73" t="n"/>
      <c r="H76" s="74">
        <f>SUM(F76:G76)</f>
        <v/>
      </c>
      <c r="I76" s="75" t="n"/>
      <c r="J76" s="76">
        <f>SUM(H76*I76)</f>
        <v/>
      </c>
      <c r="K76" s="8" t="n"/>
      <c r="L76" s="77" t="n"/>
      <c r="M76" s="13" t="n"/>
      <c r="N76" s="27" t="n"/>
      <c r="O76" s="13" t="n"/>
      <c r="P76" s="13" t="n"/>
    </row>
    <row r="77" ht="15.6" customHeight="1">
      <c r="A77" s="11">
        <f>ROW()-ROW($A$2)</f>
        <v/>
      </c>
      <c r="B77" s="7" t="n"/>
      <c r="C77" s="12" t="n"/>
      <c r="D77" s="12" t="n"/>
      <c r="E77" s="68" t="n"/>
      <c r="F77" s="73" t="n"/>
      <c r="G77" s="73" t="n"/>
      <c r="H77" s="74">
        <f>SUM(F77:G77)</f>
        <v/>
      </c>
      <c r="I77" s="75" t="n"/>
      <c r="J77" s="76">
        <f>SUM(H77*I77)</f>
        <v/>
      </c>
      <c r="K77" s="8" t="n"/>
      <c r="L77" s="77" t="n"/>
      <c r="M77" s="13" t="n"/>
      <c r="N77" s="27" t="n"/>
      <c r="O77" s="13" t="n"/>
      <c r="P77" s="13" t="n"/>
    </row>
    <row r="78" ht="15.6" customHeight="1">
      <c r="A78" s="11">
        <f>ROW()-ROW($A$2)</f>
        <v/>
      </c>
      <c r="B78" s="7" t="n"/>
      <c r="C78" s="12" t="n"/>
      <c r="D78" s="12" t="n"/>
      <c r="E78" s="68" t="n"/>
      <c r="F78" s="73" t="n"/>
      <c r="G78" s="73" t="n"/>
      <c r="H78" s="74">
        <f>SUM(F78:G78)</f>
        <v/>
      </c>
      <c r="I78" s="75" t="n"/>
      <c r="J78" s="76">
        <f>SUM(H78*I78)</f>
        <v/>
      </c>
      <c r="K78" s="8" t="n"/>
      <c r="L78" s="77" t="n"/>
      <c r="M78" s="13" t="n"/>
      <c r="N78" s="27" t="n"/>
      <c r="O78" s="13" t="n"/>
      <c r="P78" s="13" t="n"/>
    </row>
    <row r="79" ht="15.6" customHeight="1">
      <c r="A79" s="11">
        <f>ROW()-ROW($A$2)</f>
        <v/>
      </c>
      <c r="B79" s="7" t="n"/>
      <c r="C79" s="12" t="n"/>
      <c r="D79" s="12" t="n"/>
      <c r="E79" s="68" t="n"/>
      <c r="F79" s="73" t="n"/>
      <c r="G79" s="73" t="n"/>
      <c r="H79" s="74">
        <f>SUM(F79:G79)</f>
        <v/>
      </c>
      <c r="I79" s="75" t="n"/>
      <c r="J79" s="76">
        <f>SUM(H79*I79)</f>
        <v/>
      </c>
      <c r="K79" s="8" t="n"/>
      <c r="L79" s="77" t="n"/>
      <c r="M79" s="13" t="n"/>
      <c r="N79" s="27" t="n"/>
      <c r="O79" s="13" t="n"/>
      <c r="P79" s="13" t="n"/>
    </row>
    <row r="80" ht="15.6" customHeight="1">
      <c r="A80" s="11">
        <f>ROW()-ROW($A$2)</f>
        <v/>
      </c>
      <c r="B80" s="7" t="n"/>
      <c r="C80" s="12" t="n"/>
      <c r="D80" s="12" t="n"/>
      <c r="E80" s="68" t="n"/>
      <c r="F80" s="73" t="n"/>
      <c r="G80" s="73" t="n"/>
      <c r="H80" s="74">
        <f>SUM(F80:G80)</f>
        <v/>
      </c>
      <c r="I80" s="75" t="n"/>
      <c r="J80" s="76">
        <f>SUM(H80*I80)</f>
        <v/>
      </c>
      <c r="K80" s="8" t="n"/>
      <c r="L80" s="77" t="n"/>
      <c r="M80" s="13" t="n"/>
      <c r="N80" s="27" t="n"/>
      <c r="O80" s="13" t="n"/>
      <c r="P80" s="13" t="n"/>
    </row>
    <row r="81" ht="15.6" customHeight="1">
      <c r="A81" s="11">
        <f>ROW()-ROW($A$2)</f>
        <v/>
      </c>
      <c r="B81" s="7" t="n"/>
      <c r="C81" s="12" t="n"/>
      <c r="D81" s="12" t="n"/>
      <c r="E81" s="68" t="n"/>
      <c r="F81" s="73" t="n"/>
      <c r="G81" s="73" t="n"/>
      <c r="H81" s="74">
        <f>SUM(F81:G81)</f>
        <v/>
      </c>
      <c r="I81" s="75" t="n"/>
      <c r="J81" s="76">
        <f>SUM(H81*I81)</f>
        <v/>
      </c>
      <c r="K81" s="8" t="n"/>
      <c r="L81" s="77" t="n"/>
      <c r="M81" s="13" t="n"/>
      <c r="N81" s="27" t="n"/>
      <c r="O81" s="13" t="n"/>
      <c r="P81" s="13" t="n"/>
    </row>
    <row r="82" ht="15.6" customHeight="1">
      <c r="A82" s="11">
        <f>ROW()-ROW($A$2)</f>
        <v/>
      </c>
      <c r="B82" s="7" t="n"/>
      <c r="C82" s="12" t="n"/>
      <c r="D82" s="12" t="n"/>
      <c r="E82" s="68" t="n"/>
      <c r="F82" s="73" t="n"/>
      <c r="G82" s="73" t="n"/>
      <c r="H82" s="74">
        <f>SUM(F82:G82)</f>
        <v/>
      </c>
      <c r="I82" s="75" t="n"/>
      <c r="J82" s="76">
        <f>SUM(H82*I82)</f>
        <v/>
      </c>
      <c r="K82" s="8" t="n"/>
      <c r="L82" s="77" t="n"/>
      <c r="M82" s="13" t="n"/>
      <c r="N82" s="27" t="n"/>
      <c r="O82" s="13" t="n"/>
      <c r="P82" s="13" t="n"/>
    </row>
    <row r="83" ht="15.6" customHeight="1">
      <c r="A83" s="11">
        <f>ROW()-ROW($A$2)</f>
        <v/>
      </c>
      <c r="B83" s="7" t="n"/>
      <c r="C83" s="12" t="n"/>
      <c r="D83" s="12" t="n"/>
      <c r="E83" s="68" t="n"/>
      <c r="F83" s="73" t="n"/>
      <c r="G83" s="73" t="n"/>
      <c r="H83" s="74">
        <f>SUM(F83:G83)</f>
        <v/>
      </c>
      <c r="I83" s="75" t="n"/>
      <c r="J83" s="76">
        <f>SUM(H83*I83)</f>
        <v/>
      </c>
      <c r="K83" s="8" t="n"/>
      <c r="L83" s="77" t="n"/>
      <c r="M83" s="13" t="n"/>
      <c r="N83" s="27" t="n"/>
      <c r="O83" s="13" t="n"/>
      <c r="P83" s="13" t="n"/>
    </row>
    <row r="84" ht="15.6" customHeight="1">
      <c r="A84" s="11">
        <f>ROW()-ROW($A$2)</f>
        <v/>
      </c>
      <c r="B84" s="7" t="n"/>
      <c r="C84" s="12" t="n"/>
      <c r="D84" s="12" t="n"/>
      <c r="E84" s="68" t="n"/>
      <c r="F84" s="73" t="n"/>
      <c r="G84" s="73" t="n"/>
      <c r="H84" s="74">
        <f>SUM(F84:G84)</f>
        <v/>
      </c>
      <c r="I84" s="75" t="n"/>
      <c r="J84" s="76">
        <f>SUM(H84*I84)</f>
        <v/>
      </c>
      <c r="K84" s="8" t="n"/>
      <c r="L84" s="77" t="n"/>
      <c r="M84" s="13" t="n"/>
      <c r="N84" s="27" t="n"/>
      <c r="O84" s="13" t="n"/>
      <c r="P84" s="13" t="n"/>
    </row>
    <row r="85" ht="15.6" customHeight="1">
      <c r="A85" s="11">
        <f>ROW()-ROW($A$2)</f>
        <v/>
      </c>
      <c r="B85" s="7" t="n"/>
      <c r="C85" s="12" t="n"/>
      <c r="D85" s="12" t="n"/>
      <c r="E85" s="68" t="n"/>
      <c r="F85" s="73" t="n"/>
      <c r="G85" s="73" t="n"/>
      <c r="H85" s="74">
        <f>SUM(F85:G85)</f>
        <v/>
      </c>
      <c r="I85" s="75" t="n"/>
      <c r="J85" s="76">
        <f>SUM(H85*I85)</f>
        <v/>
      </c>
      <c r="K85" s="8" t="n"/>
      <c r="L85" s="77" t="n"/>
      <c r="M85" s="13" t="n"/>
      <c r="N85" s="27" t="n"/>
      <c r="O85" s="13" t="n"/>
      <c r="P85" s="13" t="n"/>
    </row>
    <row r="86" ht="15.6" customHeight="1">
      <c r="A86" s="11">
        <f>ROW()-ROW($A$2)</f>
        <v/>
      </c>
      <c r="B86" s="7" t="n"/>
      <c r="C86" s="12" t="n"/>
      <c r="D86" s="12" t="n"/>
      <c r="E86" s="68" t="n"/>
      <c r="F86" s="73" t="n"/>
      <c r="G86" s="73" t="n"/>
      <c r="H86" s="74">
        <f>SUM(F86:G86)</f>
        <v/>
      </c>
      <c r="I86" s="75" t="n"/>
      <c r="J86" s="76">
        <f>SUM(H86*I86)</f>
        <v/>
      </c>
      <c r="K86" s="8" t="n"/>
      <c r="L86" s="77" t="n"/>
      <c r="M86" s="13" t="n"/>
      <c r="N86" s="27" t="n"/>
      <c r="O86" s="13" t="n"/>
      <c r="P86" s="13" t="n"/>
    </row>
    <row r="87" ht="15.6" customHeight="1">
      <c r="A87" s="11">
        <f>ROW()-ROW($A$2)</f>
        <v/>
      </c>
      <c r="B87" s="7" t="n"/>
      <c r="C87" s="12" t="n"/>
      <c r="D87" s="12" t="n"/>
      <c r="E87" s="68" t="n"/>
      <c r="F87" s="73" t="n"/>
      <c r="G87" s="73" t="n"/>
      <c r="H87" s="74">
        <f>SUM(F87:G87)</f>
        <v/>
      </c>
      <c r="I87" s="75" t="n"/>
      <c r="J87" s="76">
        <f>SUM(H87*I87)</f>
        <v/>
      </c>
      <c r="K87" s="8" t="n"/>
      <c r="L87" s="77" t="n"/>
      <c r="M87" s="13" t="n"/>
      <c r="N87" s="27" t="n"/>
      <c r="O87" s="13" t="n"/>
      <c r="P87" s="13" t="n"/>
    </row>
    <row r="88" ht="15.6" customHeight="1">
      <c r="A88" s="11">
        <f>ROW()-ROW($A$2)</f>
        <v/>
      </c>
      <c r="B88" s="7" t="n"/>
      <c r="C88" s="12" t="n"/>
      <c r="D88" s="12" t="n"/>
      <c r="E88" s="68" t="n"/>
      <c r="F88" s="73" t="n"/>
      <c r="G88" s="73" t="n"/>
      <c r="H88" s="74">
        <f>SUM(F88:G88)</f>
        <v/>
      </c>
      <c r="I88" s="75" t="n"/>
      <c r="J88" s="76">
        <f>SUM(H88*I88)</f>
        <v/>
      </c>
      <c r="K88" s="8" t="n"/>
      <c r="L88" s="77" t="n"/>
      <c r="M88" s="13" t="n"/>
      <c r="N88" s="27" t="n"/>
      <c r="O88" s="13" t="n"/>
      <c r="P88" s="13" t="n"/>
    </row>
    <row r="89" ht="15.6" customHeight="1">
      <c r="A89" s="11">
        <f>ROW()-ROW($A$2)</f>
        <v/>
      </c>
      <c r="B89" s="7" t="n"/>
      <c r="C89" s="12" t="n"/>
      <c r="D89" s="12" t="n"/>
      <c r="E89" s="68" t="n"/>
      <c r="F89" s="73" t="n"/>
      <c r="G89" s="73" t="n"/>
      <c r="H89" s="74">
        <f>SUM(F89:G89)</f>
        <v/>
      </c>
      <c r="I89" s="75" t="n"/>
      <c r="J89" s="76">
        <f>SUM(H89*I89)</f>
        <v/>
      </c>
      <c r="K89" s="8" t="n"/>
      <c r="L89" s="77" t="n"/>
      <c r="M89" s="13" t="n"/>
      <c r="N89" s="27" t="n"/>
      <c r="O89" s="13" t="n"/>
      <c r="P89" s="13" t="n"/>
    </row>
    <row r="90" ht="15.6" customHeight="1">
      <c r="A90" s="11">
        <f>ROW()-ROW($A$2)</f>
        <v/>
      </c>
      <c r="B90" s="7" t="n"/>
      <c r="C90" s="12" t="n"/>
      <c r="D90" s="12" t="n"/>
      <c r="E90" s="68" t="n"/>
      <c r="F90" s="73" t="n"/>
      <c r="G90" s="73" t="n"/>
      <c r="H90" s="74">
        <f>SUM(F90:G90)</f>
        <v/>
      </c>
      <c r="I90" s="75" t="n"/>
      <c r="J90" s="76">
        <f>SUM(H90*I90)</f>
        <v/>
      </c>
      <c r="K90" s="8" t="n"/>
      <c r="L90" s="77" t="n"/>
      <c r="M90" s="13" t="n"/>
      <c r="N90" s="27" t="n"/>
      <c r="O90" s="13" t="n"/>
      <c r="P90" s="13" t="n"/>
    </row>
    <row r="91" ht="15.6" customHeight="1">
      <c r="A91" s="11">
        <f>ROW()-ROW($A$2)</f>
        <v/>
      </c>
      <c r="B91" s="7" t="n"/>
      <c r="C91" s="12" t="n"/>
      <c r="D91" s="12" t="n"/>
      <c r="E91" s="68" t="n"/>
      <c r="F91" s="73" t="n"/>
      <c r="G91" s="73" t="n"/>
      <c r="H91" s="74">
        <f>SUM(F91:G91)</f>
        <v/>
      </c>
      <c r="I91" s="75" t="n"/>
      <c r="J91" s="76">
        <f>SUM(H91*I91)</f>
        <v/>
      </c>
      <c r="K91" s="8" t="n"/>
      <c r="L91" s="77" t="n"/>
      <c r="M91" s="13" t="n"/>
      <c r="N91" s="27" t="n"/>
      <c r="O91" s="13" t="n"/>
      <c r="P91" s="13" t="n"/>
    </row>
    <row r="92" ht="15.6" customHeight="1">
      <c r="A92" s="11">
        <f>ROW()-ROW($A$2)</f>
        <v/>
      </c>
      <c r="B92" s="7" t="n"/>
      <c r="C92" s="12" t="n"/>
      <c r="D92" s="12" t="n"/>
      <c r="E92" s="68" t="n"/>
      <c r="F92" s="73" t="n"/>
      <c r="G92" s="73" t="n"/>
      <c r="H92" s="74">
        <f>SUM(F92:G92)</f>
        <v/>
      </c>
      <c r="I92" s="75" t="n"/>
      <c r="J92" s="76">
        <f>SUM(H92*I92)</f>
        <v/>
      </c>
      <c r="K92" s="8" t="n"/>
      <c r="L92" s="77" t="n"/>
      <c r="M92" s="13" t="n"/>
      <c r="N92" s="27" t="n"/>
      <c r="O92" s="13" t="n"/>
      <c r="P92" s="13" t="n"/>
    </row>
    <row r="93" ht="15.6" customHeight="1">
      <c r="A93" s="11">
        <f>ROW()-ROW($A$2)</f>
        <v/>
      </c>
      <c r="B93" s="7" t="n"/>
      <c r="C93" s="12" t="n"/>
      <c r="D93" s="12" t="n"/>
      <c r="E93" s="68" t="n"/>
      <c r="F93" s="73" t="n"/>
      <c r="G93" s="73" t="n"/>
      <c r="H93" s="74">
        <f>SUM(F93:G93)</f>
        <v/>
      </c>
      <c r="I93" s="75" t="n"/>
      <c r="J93" s="76">
        <f>SUM(H93*I93)</f>
        <v/>
      </c>
      <c r="K93" s="8" t="n"/>
      <c r="L93" s="77" t="n"/>
      <c r="M93" s="13" t="n"/>
      <c r="N93" s="27" t="n"/>
      <c r="O93" s="13" t="n"/>
      <c r="P93" s="13" t="n"/>
    </row>
    <row r="94" ht="15.6" customHeight="1">
      <c r="A94" s="11">
        <f>ROW()-ROW($A$2)</f>
        <v/>
      </c>
      <c r="B94" s="7" t="n"/>
      <c r="C94" s="12" t="n"/>
      <c r="D94" s="12" t="n"/>
      <c r="E94" s="68" t="n"/>
      <c r="F94" s="73" t="n"/>
      <c r="G94" s="73" t="n"/>
      <c r="H94" s="74">
        <f>SUM(F94:G94)</f>
        <v/>
      </c>
      <c r="I94" s="75" t="n"/>
      <c r="J94" s="76">
        <f>SUM(H94*I94)</f>
        <v/>
      </c>
      <c r="K94" s="8" t="n"/>
      <c r="L94" s="77" t="n"/>
      <c r="M94" s="13" t="n"/>
      <c r="N94" s="27" t="n"/>
      <c r="O94" s="13" t="n"/>
      <c r="P94" s="13" t="n"/>
    </row>
    <row r="95" ht="15.6" customHeight="1">
      <c r="A95" s="11">
        <f>ROW()-ROW($A$2)</f>
        <v/>
      </c>
      <c r="B95" s="7" t="n"/>
      <c r="C95" s="12" t="n"/>
      <c r="D95" s="12" t="n"/>
      <c r="E95" s="68" t="n"/>
      <c r="F95" s="73" t="n"/>
      <c r="G95" s="73" t="n"/>
      <c r="H95" s="74">
        <f>SUM(F95:G95)</f>
        <v/>
      </c>
      <c r="I95" s="75" t="n"/>
      <c r="J95" s="76">
        <f>SUM(H95*I95)</f>
        <v/>
      </c>
      <c r="K95" s="8" t="n"/>
      <c r="L95" s="77" t="n"/>
      <c r="M95" s="13" t="n"/>
      <c r="N95" s="27" t="n"/>
      <c r="O95" s="13" t="n"/>
      <c r="P95" s="13" t="n"/>
    </row>
    <row r="96" ht="15.6" customHeight="1">
      <c r="A96" s="11">
        <f>ROW()-ROW($A$2)</f>
        <v/>
      </c>
      <c r="B96" s="7" t="n"/>
      <c r="C96" s="12" t="n"/>
      <c r="D96" s="12" t="n"/>
      <c r="E96" s="68" t="n"/>
      <c r="F96" s="73" t="n"/>
      <c r="G96" s="73" t="n"/>
      <c r="H96" s="74">
        <f>SUM(F96:G96)</f>
        <v/>
      </c>
      <c r="I96" s="75" t="n"/>
      <c r="J96" s="76">
        <f>SUM(H96*I96)</f>
        <v/>
      </c>
      <c r="K96" s="8" t="n"/>
      <c r="L96" s="77" t="n"/>
      <c r="M96" s="13" t="n"/>
      <c r="N96" s="27" t="n"/>
      <c r="O96" s="13" t="n"/>
      <c r="P96" s="13" t="n"/>
    </row>
    <row r="97" ht="15.6" customHeight="1">
      <c r="A97" s="11">
        <f>ROW()-ROW($A$2)</f>
        <v/>
      </c>
      <c r="B97" s="12" t="n"/>
      <c r="C97" s="12" t="n"/>
      <c r="D97" s="12" t="n"/>
      <c r="E97" s="68" t="n"/>
      <c r="F97" s="73" t="n"/>
      <c r="G97" s="73" t="n"/>
      <c r="H97" s="74">
        <f>SUM(F97:G97)</f>
        <v/>
      </c>
      <c r="I97" s="75" t="n"/>
      <c r="J97" s="76">
        <f>SUM(H97*I97)</f>
        <v/>
      </c>
      <c r="K97" s="8" t="n"/>
      <c r="L97" s="77" t="n"/>
      <c r="M97" s="13" t="n"/>
      <c r="N97" s="27" t="n"/>
      <c r="O97" s="13" t="n"/>
      <c r="P97" s="13" t="n"/>
    </row>
    <row r="98" ht="15.6" customHeight="1">
      <c r="A98" s="11">
        <f>ROW()-ROW($A$2)</f>
        <v/>
      </c>
      <c r="B98" s="12" t="n"/>
      <c r="C98" s="12" t="n"/>
      <c r="D98" s="12" t="n"/>
      <c r="E98" s="68" t="n"/>
      <c r="F98" s="73" t="n"/>
      <c r="G98" s="73" t="n"/>
      <c r="H98" s="74">
        <f>SUM(F98:G98)</f>
        <v/>
      </c>
      <c r="I98" s="75" t="n"/>
      <c r="J98" s="76">
        <f>SUM(H98*I98)</f>
        <v/>
      </c>
      <c r="K98" s="8" t="n"/>
      <c r="L98" s="77" t="n"/>
      <c r="M98" s="13" t="n"/>
      <c r="N98" s="27" t="n"/>
      <c r="O98" s="13" t="n"/>
      <c r="P98" s="13" t="n"/>
    </row>
    <row r="99" ht="15.6" customHeight="1">
      <c r="A99" s="11">
        <f>ROW()-ROW($A$2)</f>
        <v/>
      </c>
      <c r="B99" s="12" t="n"/>
      <c r="C99" s="12" t="n"/>
      <c r="D99" s="12" t="n"/>
      <c r="E99" s="68" t="n"/>
      <c r="F99" s="73" t="n"/>
      <c r="G99" s="73" t="n"/>
      <c r="H99" s="74">
        <f>SUM(F99:G99)</f>
        <v/>
      </c>
      <c r="I99" s="75" t="n"/>
      <c r="J99" s="76">
        <f>SUM(H99*I99)</f>
        <v/>
      </c>
      <c r="K99" s="8" t="n"/>
      <c r="L99" s="77" t="n"/>
      <c r="M99" s="13" t="n"/>
      <c r="N99" s="27" t="n"/>
      <c r="O99" s="13" t="n"/>
      <c r="P99" s="13" t="n"/>
    </row>
    <row r="100" ht="15.6" customHeight="1">
      <c r="A100" s="11">
        <f>ROW()-ROW($A$2)</f>
        <v/>
      </c>
      <c r="B100" s="12" t="n"/>
      <c r="C100" s="12" t="n"/>
      <c r="D100" s="12" t="n"/>
      <c r="E100" s="68" t="n"/>
      <c r="F100" s="73" t="n"/>
      <c r="G100" s="73" t="n"/>
      <c r="H100" s="74">
        <f>SUM(F100:G100)</f>
        <v/>
      </c>
      <c r="I100" s="75" t="n"/>
      <c r="J100" s="76">
        <f>SUM(H100*I100)</f>
        <v/>
      </c>
      <c r="K100" s="8" t="n"/>
      <c r="L100" s="77" t="n"/>
      <c r="M100" s="13" t="n"/>
      <c r="N100" s="27" t="n"/>
      <c r="O100" s="13" t="n"/>
      <c r="P100" s="13" t="n"/>
    </row>
    <row r="101" ht="15.6" customHeight="1">
      <c r="A101" s="10" t="n"/>
      <c r="B101" s="7" t="n"/>
      <c r="C101" s="12" t="n"/>
      <c r="D101" s="12" t="n"/>
      <c r="E101" s="68" t="n"/>
      <c r="F101" s="73" t="n"/>
      <c r="G101" s="73" t="n"/>
      <c r="H101" s="74">
        <f>SUM(F101:G101)</f>
        <v/>
      </c>
      <c r="I101" s="75" t="n"/>
      <c r="J101" s="76">
        <f>SUM(H101*I101)</f>
        <v/>
      </c>
      <c r="K101" s="5" t="n"/>
      <c r="L101" s="77" t="n"/>
      <c r="M101" s="13" t="n"/>
      <c r="N101" s="27" t="n"/>
      <c r="O101" s="13" t="n"/>
      <c r="P101" s="13" t="n"/>
    </row>
    <row r="102">
      <c r="A102" s="10" t="n"/>
      <c r="B102" s="7" t="n"/>
      <c r="C102" s="7" t="n"/>
      <c r="D102" s="7" t="n"/>
      <c r="E102" s="68" t="n"/>
      <c r="F102" s="73" t="n"/>
      <c r="G102" s="73" t="n"/>
      <c r="H102" s="73" t="n"/>
      <c r="I102" s="91" t="n"/>
      <c r="J102" s="76" t="n"/>
      <c r="K102" s="5" t="n"/>
      <c r="L102" s="77" t="n"/>
      <c r="M102" s="13" t="n"/>
      <c r="N102" s="27" t="n"/>
      <c r="O102" s="13" t="n"/>
      <c r="P102" s="13" t="n"/>
    </row>
    <row r="103">
      <c r="A103" s="10" t="n"/>
      <c r="B103" s="7" t="n"/>
      <c r="C103" s="7" t="n"/>
      <c r="D103" s="7" t="n"/>
      <c r="E103" s="68" t="n"/>
      <c r="F103" s="73" t="n"/>
      <c r="G103" s="73" t="n"/>
      <c r="H103" s="73" t="n"/>
      <c r="I103" s="91" t="n"/>
      <c r="J103" s="76" t="n"/>
      <c r="K103" s="5" t="n"/>
      <c r="L103" s="77" t="n"/>
      <c r="M103" s="13" t="n"/>
      <c r="N103" s="27" t="n"/>
      <c r="O103" s="13" t="n"/>
      <c r="P103" s="13" t="n"/>
    </row>
    <row r="104" ht="16.2" customHeight="1" thickBot="1">
      <c r="A104" s="37">
        <f>COUNT(A3:A100)</f>
        <v/>
      </c>
      <c r="B104" s="36" t="inlineStr">
        <is>
          <t>Total</t>
        </is>
      </c>
      <c r="C104" s="7" t="n"/>
      <c r="D104" s="7" t="n"/>
      <c r="E104" s="68" t="n"/>
      <c r="F104" s="92">
        <f>SUM(F3:F100)</f>
        <v/>
      </c>
      <c r="G104" s="73" t="n"/>
      <c r="H104" s="92">
        <f>SUM(H3:H100)</f>
        <v/>
      </c>
      <c r="I104" s="91" t="n"/>
      <c r="J104" s="93">
        <f>SUM(J3:J100)</f>
        <v/>
      </c>
      <c r="K104" s="5" t="n"/>
      <c r="L104" s="77" t="n"/>
      <c r="M104" s="13" t="n"/>
      <c r="N104" s="27" t="n"/>
      <c r="O104" s="13" t="n"/>
      <c r="P104" s="13" t="n"/>
    </row>
    <row r="105" ht="16.2" customHeight="1" thickTop="1">
      <c r="I105" s="33" t="inlineStr">
        <is>
          <t>Advance</t>
        </is>
      </c>
      <c r="J105" s="94" t="n">
        <v>1</v>
      </c>
    </row>
    <row r="106" ht="15.6" customHeight="1">
      <c r="I106" s="33" t="inlineStr">
        <is>
          <t>Sweets</t>
        </is>
      </c>
      <c r="J106" s="94" t="n">
        <v>1</v>
      </c>
    </row>
    <row r="107" ht="15.6" customHeight="1">
      <c r="I107" s="33" t="inlineStr">
        <is>
          <t>Balance</t>
        </is>
      </c>
      <c r="J107" s="95">
        <f>SUM(J104-J105-J106)</f>
        <v/>
      </c>
    </row>
  </sheetData>
  <autoFilter ref="A2:P104"/>
  <conditionalFormatting sqref="F104">
    <cfRule type="cellIs" priority="4" operator="lessThan" dxfId="1" stopIfTrue="1">
      <formula>1</formula>
    </cfRule>
  </conditionalFormatting>
  <conditionalFormatting sqref="H104">
    <cfRule type="cellIs" priority="2" operator="lessThan" dxfId="1" stopIfTrue="1">
      <formula>1</formula>
    </cfRule>
  </conditionalFormatting>
  <conditionalFormatting sqref="J104">
    <cfRule type="cellIs" priority="3" operator="lessThan" dxfId="1" stopIfTrue="1">
      <formula>1</formula>
    </cfRule>
  </conditionalFormatting>
  <conditionalFormatting sqref="J105:J107">
    <cfRule type="cellIs" priority="1" operator="lessThan" dxfId="0" stopIfTrue="1">
      <formula>0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7"/>
  <sheetViews>
    <sheetView zoomScaleNormal="100" workbookViewId="0">
      <pane xSplit="5" ySplit="2" topLeftCell="F3" activePane="bottomRight" state="frozenSplit"/>
      <selection pane="topRight" activeCell="F1" sqref="F1"/>
      <selection pane="bottomLeft" activeCell="A9" sqref="A9"/>
      <selection pane="bottomRight" activeCell="C3" sqref="C3:D4"/>
    </sheetView>
  </sheetViews>
  <sheetFormatPr baseColWidth="8" defaultRowHeight="14.4"/>
  <cols>
    <col width="5.88671875" bestFit="1" customWidth="1" min="1" max="1"/>
    <col width="39.109375" customWidth="1" min="2" max="2"/>
    <col width="10.6640625" customWidth="1" min="3" max="3"/>
    <col width="14.5546875" customWidth="1" min="4" max="4"/>
    <col width="6.6640625" bestFit="1" customWidth="1" min="5" max="5"/>
    <col width="9.109375" customWidth="1" min="6" max="6"/>
    <col width="8.109375" customWidth="1" min="7" max="7"/>
    <col width="12.88671875" bestFit="1" customWidth="1" min="9" max="9"/>
    <col width="12" bestFit="1" customWidth="1" style="66" min="10" max="10"/>
  </cols>
  <sheetData>
    <row r="1" ht="23.4" customHeight="1">
      <c r="A1" s="22" t="n"/>
      <c r="B1" s="23" t="inlineStr">
        <is>
          <t>Surendra Chhimpa</t>
        </is>
      </c>
      <c r="C1" s="23" t="inlineStr">
        <is>
          <t>Extra Staff Diwali-26</t>
        </is>
      </c>
      <c r="D1" s="23" t="n"/>
      <c r="E1" s="24" t="n"/>
      <c r="F1" s="22" t="n"/>
      <c r="G1" s="22" t="n"/>
      <c r="H1" s="22" t="n"/>
      <c r="I1" s="22" t="n"/>
      <c r="J1" s="67" t="n"/>
      <c r="K1" s="22" t="n"/>
      <c r="L1" s="22" t="n"/>
      <c r="M1" s="25" t="n"/>
      <c r="N1" s="25" t="n"/>
      <c r="O1" s="38" t="n"/>
      <c r="P1" s="38" t="n"/>
    </row>
    <row r="2" ht="32.4" customHeight="1">
      <c r="A2" s="14" t="inlineStr">
        <is>
          <t>No.</t>
        </is>
      </c>
      <c r="B2" s="15" t="inlineStr">
        <is>
          <t>Staff Name</t>
        </is>
      </c>
      <c r="C2" s="63" t="inlineStr">
        <is>
          <t>Designation</t>
        </is>
      </c>
      <c r="D2" s="63" t="inlineStr">
        <is>
          <t>Loctation</t>
        </is>
      </c>
      <c r="E2" s="68" t="inlineStr">
        <is>
          <t>Staff</t>
        </is>
      </c>
      <c r="F2" s="69" t="inlineStr">
        <is>
          <t>Sept Present</t>
        </is>
      </c>
      <c r="G2" s="69" t="inlineStr">
        <is>
          <t>Octo Present</t>
        </is>
      </c>
      <c r="H2" s="69" t="inlineStr">
        <is>
          <t>Total Present</t>
        </is>
      </c>
      <c r="I2" s="17" t="inlineStr">
        <is>
          <t>Per Day Pay</t>
        </is>
      </c>
      <c r="J2" s="70" t="inlineStr">
        <is>
          <t>Net Pay</t>
        </is>
      </c>
      <c r="K2" s="18" t="inlineStr">
        <is>
          <t>2026 Per Day</t>
        </is>
      </c>
      <c r="L2" s="71" t="inlineStr">
        <is>
          <t>Sweet Kg.</t>
        </is>
      </c>
      <c r="M2" s="71" t="inlineStr">
        <is>
          <t>Aadhar</t>
        </is>
      </c>
      <c r="N2" s="72" t="inlineStr">
        <is>
          <t>Mobile</t>
        </is>
      </c>
      <c r="O2" s="71" t="inlineStr">
        <is>
          <t>From Date</t>
        </is>
      </c>
      <c r="P2" s="71" t="inlineStr">
        <is>
          <t>To Date</t>
        </is>
      </c>
      <c r="Q2" t="inlineStr">
        <is>
          <t>App ID</t>
        </is>
      </c>
      <c r="R2" t="inlineStr">
        <is>
          <t>Employment Status</t>
        </is>
      </c>
      <c r="S2" t="inlineStr">
        <is>
          <t>Departure Date</t>
        </is>
      </c>
      <c r="T2" t="inlineStr">
        <is>
          <t>Departure Reason</t>
        </is>
      </c>
      <c r="U2" t="inlineStr">
        <is>
          <t>Status Verified</t>
        </is>
      </c>
    </row>
    <row r="3" ht="15.6" customHeight="1">
      <c r="A3" s="11">
        <f>ROW()-ROW($A$2)</f>
        <v/>
      </c>
      <c r="B3" s="12" t="inlineStr">
        <is>
          <t>Rahul Rameshbhai Chauhan</t>
        </is>
      </c>
      <c r="C3" s="12" t="inlineStr">
        <is>
          <t>Packing</t>
        </is>
      </c>
      <c r="D3" s="12" t="inlineStr">
        <is>
          <t>Sardar Hall</t>
        </is>
      </c>
      <c r="E3" s="68" t="n">
        <v>1</v>
      </c>
      <c r="F3" s="73" t="n">
        <v>5</v>
      </c>
      <c r="G3" s="73" t="n">
        <v>25</v>
      </c>
      <c r="H3" s="74">
        <f>SUM(F3:G3)</f>
        <v/>
      </c>
      <c r="I3" s="75" t="n">
        <v>100</v>
      </c>
      <c r="J3" s="76">
        <f>SUM(H3*I3)</f>
        <v/>
      </c>
      <c r="K3" s="21" t="n"/>
      <c r="L3" s="77" t="n"/>
      <c r="M3" s="13" t="n"/>
      <c r="N3" s="27" t="n"/>
      <c r="O3" s="13" t="n"/>
      <c r="P3" s="13" t="n"/>
      <c r="Q3" t="inlineStr">
        <is>
          <t>EMP-BD695B79</t>
        </is>
      </c>
      <c r="R3" t="inlineStr">
        <is>
          <t>Active</t>
        </is>
      </c>
    </row>
    <row r="4" ht="15.6" customHeight="1">
      <c r="A4" s="11">
        <f>ROW()-ROW($A$2)</f>
        <v/>
      </c>
      <c r="B4" s="12" t="inlineStr">
        <is>
          <t>Vasantkumar Virendra Chipa</t>
        </is>
      </c>
      <c r="C4" s="12" t="n"/>
      <c r="D4" s="12" t="n"/>
      <c r="E4" s="68" t="n"/>
      <c r="F4" s="73" t="n"/>
      <c r="G4" s="73" t="n"/>
      <c r="H4" s="74">
        <f>SUM(F4:G4)</f>
        <v/>
      </c>
      <c r="I4" s="75" t="n"/>
      <c r="J4" s="76">
        <f>SUM(H4*I4)</f>
        <v/>
      </c>
      <c r="K4" s="5" t="n"/>
      <c r="L4" s="78" t="n"/>
      <c r="M4" s="13" t="n"/>
      <c r="N4" s="27" t="n"/>
      <c r="O4" s="13" t="n"/>
      <c r="P4" s="13" t="n"/>
      <c r="Q4" t="inlineStr">
        <is>
          <t>EMP-2EB14695</t>
        </is>
      </c>
      <c r="R4" t="inlineStr">
        <is>
          <t>Active</t>
        </is>
      </c>
    </row>
    <row r="5" ht="15.6" customHeight="1">
      <c r="A5" s="11">
        <f>ROW()-ROW($A$2)</f>
        <v/>
      </c>
      <c r="B5" s="7" t="inlineStr">
        <is>
          <t>Bhuralal Mohanlal Nayak</t>
        </is>
      </c>
      <c r="C5" s="12" t="n"/>
      <c r="D5" s="12" t="n"/>
      <c r="E5" s="68" t="n"/>
      <c r="F5" s="73" t="n"/>
      <c r="G5" s="73" t="n"/>
      <c r="H5" s="74">
        <f>SUM(F5:G5)</f>
        <v/>
      </c>
      <c r="I5" s="75" t="n"/>
      <c r="J5" s="76">
        <f>SUM(H5*I5)</f>
        <v/>
      </c>
      <c r="K5" s="8" t="n"/>
      <c r="L5" s="77" t="n"/>
      <c r="M5" s="13" t="n"/>
      <c r="N5" s="27" t="n"/>
      <c r="O5" s="13" t="n"/>
      <c r="P5" s="13" t="n"/>
      <c r="Q5" t="inlineStr">
        <is>
          <t>EMP-55B99C0D</t>
        </is>
      </c>
      <c r="R5" t="inlineStr">
        <is>
          <t>Active</t>
        </is>
      </c>
    </row>
    <row r="6" ht="15.6" customHeight="1">
      <c r="A6" s="11">
        <f>ROW()-ROW($A$2)</f>
        <v/>
      </c>
      <c r="B6" s="7" t="inlineStr">
        <is>
          <t>Rakeshbhai Kanabhai Nayak</t>
        </is>
      </c>
      <c r="C6" s="12" t="n"/>
      <c r="D6" s="12" t="n"/>
      <c r="E6" s="68" t="n"/>
      <c r="F6" s="73" t="n"/>
      <c r="G6" s="73" t="n"/>
      <c r="H6" s="74">
        <f>SUM(F6:G6)</f>
        <v/>
      </c>
      <c r="I6" s="75" t="n"/>
      <c r="J6" s="76">
        <f>SUM(H6*I6)</f>
        <v/>
      </c>
      <c r="K6" s="8" t="n"/>
      <c r="L6" s="77" t="n"/>
      <c r="M6" s="13" t="n"/>
      <c r="N6" s="27" t="n"/>
      <c r="O6" s="13" t="n"/>
      <c r="P6" s="13" t="n"/>
      <c r="Q6" t="inlineStr">
        <is>
          <t>EMP-A4931A14</t>
        </is>
      </c>
      <c r="R6" t="inlineStr">
        <is>
          <t>Active</t>
        </is>
      </c>
    </row>
    <row r="7" ht="15.6" customHeight="1">
      <c r="A7" s="11">
        <f>ROW()-ROW($A$2)</f>
        <v/>
      </c>
      <c r="B7" s="7" t="inlineStr">
        <is>
          <t>Prakashbhai Kanjibhai Nayak</t>
        </is>
      </c>
      <c r="C7" s="12" t="n"/>
      <c r="D7" s="12" t="n"/>
      <c r="E7" s="68" t="n"/>
      <c r="F7" s="73" t="n"/>
      <c r="G7" s="73" t="n"/>
      <c r="H7" s="74">
        <f>SUM(F7:G7)</f>
        <v/>
      </c>
      <c r="I7" s="75" t="n"/>
      <c r="J7" s="76">
        <f>SUM(H7*I7)</f>
        <v/>
      </c>
      <c r="K7" s="8" t="n"/>
      <c r="L7" s="77" t="n"/>
      <c r="M7" s="13" t="n"/>
      <c r="N7" s="27" t="n"/>
      <c r="O7" s="13" t="n"/>
      <c r="P7" s="13" t="n"/>
      <c r="Q7" t="inlineStr">
        <is>
          <t>EMP-FC746F05</t>
        </is>
      </c>
      <c r="R7" t="inlineStr">
        <is>
          <t>Active</t>
        </is>
      </c>
    </row>
    <row r="8" ht="15.6" customHeight="1">
      <c r="A8" s="11">
        <f>ROW()-ROW($A$2)</f>
        <v/>
      </c>
      <c r="B8" s="7" t="inlineStr">
        <is>
          <t>Maheshbhai Shankerbhai Nayak</t>
        </is>
      </c>
      <c r="C8" s="12" t="n"/>
      <c r="D8" s="12" t="n"/>
      <c r="E8" s="68" t="n"/>
      <c r="F8" s="73" t="n"/>
      <c r="G8" s="73" t="n"/>
      <c r="H8" s="74">
        <f>SUM(F8:G8)</f>
        <v/>
      </c>
      <c r="I8" s="75" t="n"/>
      <c r="J8" s="76">
        <f>SUM(H8*I8)</f>
        <v/>
      </c>
      <c r="K8" s="8" t="n"/>
      <c r="L8" s="77" t="n"/>
      <c r="M8" s="13" t="n"/>
      <c r="N8" s="27" t="n"/>
      <c r="O8" s="13" t="n"/>
      <c r="P8" s="13" t="n"/>
      <c r="Q8" t="inlineStr">
        <is>
          <t>EMP-2042D506</t>
        </is>
      </c>
      <c r="R8" t="inlineStr">
        <is>
          <t>Active</t>
        </is>
      </c>
    </row>
    <row r="9" ht="15.6" customHeight="1">
      <c r="A9" s="11">
        <f>ROW()-ROW($A$2)</f>
        <v/>
      </c>
      <c r="B9" s="7" t="inlineStr">
        <is>
          <t>Kalubhai Kanabhai Nayak</t>
        </is>
      </c>
      <c r="C9" s="12" t="n"/>
      <c r="D9" s="12" t="n"/>
      <c r="E9" s="68" t="n"/>
      <c r="F9" s="73" t="n"/>
      <c r="G9" s="73" t="n"/>
      <c r="H9" s="74">
        <f>SUM(F9:G9)</f>
        <v/>
      </c>
      <c r="I9" s="75" t="n"/>
      <c r="J9" s="76">
        <f>SUM(H9*I9)</f>
        <v/>
      </c>
      <c r="K9" s="8" t="n"/>
      <c r="L9" s="77" t="n"/>
      <c r="M9" s="13" t="n"/>
      <c r="N9" s="27" t="n"/>
      <c r="O9" s="13" t="n"/>
      <c r="P9" s="13" t="n"/>
      <c r="Q9" t="inlineStr">
        <is>
          <t>EMP-04EF1317</t>
        </is>
      </c>
      <c r="R9" t="inlineStr">
        <is>
          <t>Active</t>
        </is>
      </c>
    </row>
    <row r="10" ht="15.6" customHeight="1">
      <c r="A10" s="11">
        <f>ROW()-ROW($A$2)</f>
        <v/>
      </c>
      <c r="B10" s="7" t="inlineStr">
        <is>
          <t>Ramanbhai Shankerbhai Nayak</t>
        </is>
      </c>
      <c r="C10" s="12" t="n"/>
      <c r="D10" s="12" t="n"/>
      <c r="E10" s="68" t="n"/>
      <c r="F10" s="73" t="n"/>
      <c r="G10" s="73" t="n"/>
      <c r="H10" s="74">
        <f>SUM(F10:G10)</f>
        <v/>
      </c>
      <c r="I10" s="75" t="n"/>
      <c r="J10" s="76">
        <f>SUM(H10*I10)</f>
        <v/>
      </c>
      <c r="K10" s="8" t="n"/>
      <c r="L10" s="77" t="n"/>
      <c r="M10" s="13" t="n"/>
      <c r="N10" s="27" t="n"/>
      <c r="O10" s="13" t="n"/>
      <c r="P10" s="13" t="n"/>
      <c r="Q10" t="inlineStr">
        <is>
          <t>EMP-D1598EE0</t>
        </is>
      </c>
      <c r="R10" t="inlineStr">
        <is>
          <t>Active</t>
        </is>
      </c>
    </row>
    <row r="11" ht="15.6" customHeight="1">
      <c r="A11" s="11">
        <f>ROW()-ROW($A$2)</f>
        <v/>
      </c>
      <c r="B11" s="7" t="inlineStr">
        <is>
          <t>Rajubhai Bhathibhai</t>
        </is>
      </c>
      <c r="C11" s="12" t="n"/>
      <c r="D11" s="12" t="n"/>
      <c r="E11" s="68" t="n"/>
      <c r="F11" s="73" t="n"/>
      <c r="G11" s="73" t="n"/>
      <c r="H11" s="74">
        <f>SUM(F11:G11)</f>
        <v/>
      </c>
      <c r="I11" s="75" t="n"/>
      <c r="J11" s="76">
        <f>SUM(H11*I11)</f>
        <v/>
      </c>
      <c r="K11" s="8" t="n"/>
      <c r="L11" s="77" t="n"/>
      <c r="M11" s="13" t="n"/>
      <c r="N11" s="27" t="n"/>
      <c r="O11" s="13" t="n"/>
      <c r="P11" s="13" t="n"/>
      <c r="Q11" t="inlineStr">
        <is>
          <t>EMP-28B77F0A</t>
        </is>
      </c>
      <c r="R11" t="inlineStr">
        <is>
          <t>Active</t>
        </is>
      </c>
    </row>
    <row r="12" ht="15.6" customHeight="1">
      <c r="A12" s="11">
        <f>ROW()-ROW($A$2)</f>
        <v/>
      </c>
      <c r="B12" s="7" t="inlineStr">
        <is>
          <t>Anilbhai Chhaganbhai Nayak</t>
        </is>
      </c>
      <c r="C12" s="12" t="n"/>
      <c r="D12" s="12" t="n"/>
      <c r="E12" s="68" t="n"/>
      <c r="F12" s="73" t="n"/>
      <c r="G12" s="73" t="n"/>
      <c r="H12" s="74">
        <f>SUM(F12:G12)</f>
        <v/>
      </c>
      <c r="I12" s="75" t="n"/>
      <c r="J12" s="76">
        <f>SUM(H12*I12)</f>
        <v/>
      </c>
      <c r="K12" s="8" t="n"/>
      <c r="L12" s="77" t="n"/>
      <c r="M12" s="13" t="n"/>
      <c r="N12" s="27" t="n"/>
      <c r="O12" s="13" t="n"/>
      <c r="P12" s="13" t="n"/>
      <c r="Q12" t="inlineStr">
        <is>
          <t>EMP-61AD9053</t>
        </is>
      </c>
      <c r="R12" t="inlineStr">
        <is>
          <t>Active</t>
        </is>
      </c>
    </row>
    <row r="13" ht="15.6" customHeight="1">
      <c r="A13" s="11">
        <f>ROW()-ROW($A$2)</f>
        <v/>
      </c>
      <c r="B13" s="7" t="inlineStr">
        <is>
          <t>Shaileshbhai Ramanbhai Nayak</t>
        </is>
      </c>
      <c r="C13" s="12" t="n"/>
      <c r="D13" s="12" t="n"/>
      <c r="E13" s="68" t="n"/>
      <c r="F13" s="73" t="n"/>
      <c r="G13" s="73" t="n"/>
      <c r="H13" s="74">
        <f>SUM(F13:G13)</f>
        <v/>
      </c>
      <c r="I13" s="75" t="n"/>
      <c r="J13" s="76">
        <f>SUM(H13*I13)</f>
        <v/>
      </c>
      <c r="K13" s="8" t="n"/>
      <c r="L13" s="77" t="n"/>
      <c r="M13" s="13" t="n"/>
      <c r="N13" s="27" t="n"/>
      <c r="O13" s="13" t="n"/>
      <c r="P13" s="13" t="n"/>
      <c r="Q13" t="inlineStr">
        <is>
          <t>EMP-1FA53F83</t>
        </is>
      </c>
      <c r="R13" t="inlineStr">
        <is>
          <t>Active</t>
        </is>
      </c>
    </row>
    <row r="14" ht="15.6" customHeight="1">
      <c r="A14" s="11">
        <f>ROW()-ROW($A$2)</f>
        <v/>
      </c>
      <c r="B14" s="7" t="inlineStr">
        <is>
          <t>Bhikhabhai Salambhai Nayak</t>
        </is>
      </c>
      <c r="C14" s="12" t="n"/>
      <c r="D14" s="12" t="n"/>
      <c r="E14" s="68" t="n"/>
      <c r="F14" s="73" t="n"/>
      <c r="G14" s="73" t="n"/>
      <c r="H14" s="74">
        <f>SUM(F14:G14)</f>
        <v/>
      </c>
      <c r="I14" s="75" t="n"/>
      <c r="J14" s="76">
        <f>SUM(H14*I14)</f>
        <v/>
      </c>
      <c r="K14" s="8" t="n"/>
      <c r="L14" s="77" t="n"/>
      <c r="M14" s="13" t="n"/>
      <c r="N14" s="27" t="n"/>
      <c r="O14" s="13" t="n"/>
      <c r="P14" s="13" t="n"/>
      <c r="Q14" t="inlineStr">
        <is>
          <t>EMP-FC84F942</t>
        </is>
      </c>
      <c r="R14" t="inlineStr">
        <is>
          <t>Active</t>
        </is>
      </c>
    </row>
    <row r="15" ht="15.6" customHeight="1">
      <c r="A15" s="11">
        <f>ROW()-ROW($A$2)</f>
        <v/>
      </c>
      <c r="B15" s="7" t="inlineStr">
        <is>
          <t>Bhalabhai Jethabhai Nayak</t>
        </is>
      </c>
      <c r="C15" s="12" t="n"/>
      <c r="D15" s="12" t="n"/>
      <c r="E15" s="68" t="n"/>
      <c r="F15" s="73" t="n"/>
      <c r="G15" s="73" t="n"/>
      <c r="H15" s="74">
        <f>SUM(F15:G15)</f>
        <v/>
      </c>
      <c r="I15" s="75" t="n"/>
      <c r="J15" s="76">
        <f>SUM(H15*I15)</f>
        <v/>
      </c>
      <c r="K15" s="8" t="n"/>
      <c r="L15" s="77" t="n"/>
      <c r="M15" s="13" t="n"/>
      <c r="N15" s="27" t="n"/>
      <c r="O15" s="13" t="n"/>
      <c r="P15" s="13" t="n"/>
      <c r="Q15" t="inlineStr">
        <is>
          <t>EMP-049C5599</t>
        </is>
      </c>
      <c r="R15" t="inlineStr">
        <is>
          <t>Active</t>
        </is>
      </c>
    </row>
    <row r="16" ht="15.6" customHeight="1">
      <c r="A16" s="11">
        <f>ROW()-ROW($A$2)</f>
        <v/>
      </c>
      <c r="B16" s="7" t="inlineStr">
        <is>
          <t>Vinubhai Udabhai Nayak</t>
        </is>
      </c>
      <c r="C16" s="12" t="n"/>
      <c r="D16" s="12" t="n"/>
      <c r="E16" s="68" t="n"/>
      <c r="F16" s="73" t="n"/>
      <c r="G16" s="73" t="n"/>
      <c r="H16" s="74">
        <f>SUM(F16:G16)</f>
        <v/>
      </c>
      <c r="I16" s="75" t="n"/>
      <c r="J16" s="76">
        <f>SUM(H16*I16)</f>
        <v/>
      </c>
      <c r="K16" s="8" t="n"/>
      <c r="L16" s="77" t="n"/>
      <c r="M16" s="13" t="n"/>
      <c r="N16" s="27" t="n"/>
      <c r="O16" s="13" t="n"/>
      <c r="P16" s="13" t="n"/>
      <c r="Q16" t="inlineStr">
        <is>
          <t>EMP-AA349F4A</t>
        </is>
      </c>
      <c r="R16" t="inlineStr">
        <is>
          <t>Active</t>
        </is>
      </c>
    </row>
    <row r="17" ht="15.6" customHeight="1">
      <c r="A17" s="11">
        <f>ROW()-ROW($A$2)</f>
        <v/>
      </c>
      <c r="B17" s="7" t="inlineStr">
        <is>
          <t>Shaileshbhai Somabhai Nayak</t>
        </is>
      </c>
      <c r="C17" s="12" t="n"/>
      <c r="D17" s="12" t="n"/>
      <c r="E17" s="68" t="n"/>
      <c r="F17" s="73" t="n"/>
      <c r="G17" s="73" t="n"/>
      <c r="H17" s="74">
        <f>SUM(F17:G17)</f>
        <v/>
      </c>
      <c r="I17" s="75" t="n"/>
      <c r="J17" s="76">
        <f>SUM(H17*I17)</f>
        <v/>
      </c>
      <c r="K17" s="8" t="n"/>
      <c r="L17" s="77" t="n"/>
      <c r="M17" s="13" t="n"/>
      <c r="N17" s="27" t="n"/>
      <c r="O17" s="13" t="n"/>
      <c r="P17" s="13" t="n"/>
      <c r="Q17" t="inlineStr">
        <is>
          <t>EMP-C6F42A55</t>
        </is>
      </c>
      <c r="R17" t="inlineStr">
        <is>
          <t>Active</t>
        </is>
      </c>
    </row>
    <row r="18" ht="15.6" customHeight="1">
      <c r="A18" s="11">
        <f>ROW()-ROW($A$2)</f>
        <v/>
      </c>
      <c r="B18" s="7" t="inlineStr">
        <is>
          <t>Kalubhai Shanabhai Nayak</t>
        </is>
      </c>
      <c r="C18" s="12" t="n"/>
      <c r="D18" s="12" t="n"/>
      <c r="E18" s="68" t="n"/>
      <c r="F18" s="73" t="n"/>
      <c r="G18" s="73" t="n"/>
      <c r="H18" s="74">
        <f>SUM(F18:G18)</f>
        <v/>
      </c>
      <c r="I18" s="75" t="n"/>
      <c r="J18" s="76">
        <f>SUM(H18*I18)</f>
        <v/>
      </c>
      <c r="K18" s="8" t="n"/>
      <c r="L18" s="77" t="n"/>
      <c r="M18" s="13" t="n"/>
      <c r="N18" s="27" t="n"/>
      <c r="O18" s="13" t="n"/>
      <c r="P18" s="13" t="n"/>
      <c r="Q18" t="inlineStr">
        <is>
          <t>EMP-9ED476D8</t>
        </is>
      </c>
      <c r="R18" t="inlineStr">
        <is>
          <t>Active</t>
        </is>
      </c>
    </row>
    <row r="19" ht="15.6" customHeight="1">
      <c r="A19" s="11">
        <f>ROW()-ROW($A$2)</f>
        <v/>
      </c>
      <c r="B19" s="7" t="inlineStr">
        <is>
          <t>Bhulabhai Lakshmanbhai Nayakada</t>
        </is>
      </c>
      <c r="C19" s="12" t="n"/>
      <c r="D19" s="12" t="n"/>
      <c r="E19" s="68" t="n"/>
      <c r="F19" s="73" t="n"/>
      <c r="G19" s="73" t="n"/>
      <c r="H19" s="74">
        <f>SUM(F19:G19)</f>
        <v/>
      </c>
      <c r="I19" s="75" t="n"/>
      <c r="J19" s="76">
        <f>SUM(H19*I19)</f>
        <v/>
      </c>
      <c r="K19" s="8" t="n"/>
      <c r="L19" s="77" t="n"/>
      <c r="M19" s="13" t="n"/>
      <c r="N19" s="27" t="n"/>
      <c r="O19" s="13" t="n"/>
      <c r="P19" s="13" t="n"/>
      <c r="Q19" t="inlineStr">
        <is>
          <t>EMP-67130F8B</t>
        </is>
      </c>
      <c r="R19" t="inlineStr">
        <is>
          <t>Active</t>
        </is>
      </c>
    </row>
    <row r="20" ht="15.6" customHeight="1">
      <c r="A20" s="11">
        <f>ROW()-ROW($A$2)</f>
        <v/>
      </c>
      <c r="B20" s="7" t="inlineStr">
        <is>
          <t>Rajeshbhai Shivabhai Nayak</t>
        </is>
      </c>
      <c r="C20" s="12" t="n"/>
      <c r="D20" s="12" t="n"/>
      <c r="E20" s="68" t="n"/>
      <c r="F20" s="73" t="n"/>
      <c r="G20" s="73" t="n"/>
      <c r="H20" s="74">
        <f>SUM(F20:G20)</f>
        <v/>
      </c>
      <c r="I20" s="75" t="n"/>
      <c r="J20" s="76">
        <f>SUM(H20*I20)</f>
        <v/>
      </c>
      <c r="K20" s="8" t="n"/>
      <c r="L20" s="77" t="n"/>
      <c r="M20" s="13" t="n"/>
      <c r="N20" s="27" t="n"/>
      <c r="O20" s="13" t="n"/>
      <c r="P20" s="13" t="n"/>
      <c r="Q20" t="inlineStr">
        <is>
          <t>EMP-7A0EB602</t>
        </is>
      </c>
      <c r="R20" t="inlineStr">
        <is>
          <t>Active</t>
        </is>
      </c>
    </row>
    <row r="21" ht="15.6" customHeight="1">
      <c r="A21" s="11">
        <f>ROW()-ROW($A$2)</f>
        <v/>
      </c>
      <c r="B21" s="7" t="inlineStr">
        <is>
          <t>Lakshmanbhai Galabhai Nayakada</t>
        </is>
      </c>
      <c r="C21" s="12" t="n"/>
      <c r="D21" s="12" t="n"/>
      <c r="E21" s="68" t="n"/>
      <c r="F21" s="73" t="n"/>
      <c r="G21" s="73" t="n"/>
      <c r="H21" s="74">
        <f>SUM(F21:G21)</f>
        <v/>
      </c>
      <c r="I21" s="75" t="n"/>
      <c r="J21" s="76">
        <f>SUM(H21*I21)</f>
        <v/>
      </c>
      <c r="K21" s="8" t="n"/>
      <c r="L21" s="77" t="n"/>
      <c r="M21" s="13" t="n"/>
      <c r="N21" s="27" t="n"/>
      <c r="O21" s="13" t="n"/>
      <c r="P21" s="13" t="n"/>
      <c r="Q21" t="inlineStr">
        <is>
          <t>EMP-C049542F</t>
        </is>
      </c>
      <c r="R21" t="inlineStr">
        <is>
          <t>Active</t>
        </is>
      </c>
    </row>
    <row r="22" ht="15.6" customHeight="1">
      <c r="A22" s="11">
        <f>ROW()-ROW($A$2)</f>
        <v/>
      </c>
      <c r="B22" s="7" t="inlineStr">
        <is>
          <t>Kanjibhai Bharatbhai Nayak</t>
        </is>
      </c>
      <c r="C22" s="12" t="n"/>
      <c r="D22" s="12" t="n"/>
      <c r="E22" s="68" t="n"/>
      <c r="F22" s="73" t="n"/>
      <c r="G22" s="73" t="n"/>
      <c r="H22" s="74">
        <f>SUM(F22:G22)</f>
        <v/>
      </c>
      <c r="I22" s="75" t="n"/>
      <c r="J22" s="76">
        <f>SUM(H22*I22)</f>
        <v/>
      </c>
      <c r="K22" s="8" t="n"/>
      <c r="L22" s="77" t="n"/>
      <c r="M22" s="13" t="n"/>
      <c r="N22" s="27" t="n"/>
      <c r="O22" s="13" t="n"/>
      <c r="P22" s="13" t="n"/>
      <c r="Q22" t="inlineStr">
        <is>
          <t>EMP-EB007ACB</t>
        </is>
      </c>
      <c r="R22" t="inlineStr">
        <is>
          <t>Active</t>
        </is>
      </c>
    </row>
    <row r="23" ht="15.6" customHeight="1">
      <c r="A23" s="11">
        <f>ROW()-ROW($A$2)</f>
        <v/>
      </c>
      <c r="B23" s="7" t="inlineStr">
        <is>
          <t>Ramabhai Lalabhai Nayak</t>
        </is>
      </c>
      <c r="C23" s="12" t="n"/>
      <c r="D23" s="12" t="n"/>
      <c r="E23" s="68" t="n"/>
      <c r="F23" s="73" t="n"/>
      <c r="G23" s="73" t="n"/>
      <c r="H23" s="74">
        <f>SUM(F23:G23)</f>
        <v/>
      </c>
      <c r="I23" s="75" t="n"/>
      <c r="J23" s="76">
        <f>SUM(H23*I23)</f>
        <v/>
      </c>
      <c r="K23" s="8" t="n"/>
      <c r="L23" s="77" t="n"/>
      <c r="M23" s="13" t="n"/>
      <c r="N23" s="27" t="n"/>
      <c r="O23" s="13" t="n"/>
      <c r="P23" s="13" t="n"/>
      <c r="Q23" t="inlineStr">
        <is>
          <t>EMP-9E7CD18D</t>
        </is>
      </c>
      <c r="R23" t="inlineStr">
        <is>
          <t>Active</t>
        </is>
      </c>
    </row>
    <row r="24" ht="15.6" customHeight="1">
      <c r="A24" s="11">
        <f>ROW()-ROW($A$2)</f>
        <v/>
      </c>
      <c r="B24" s="7" t="inlineStr">
        <is>
          <t>Vipulbhai Kalubhai Nayak</t>
        </is>
      </c>
      <c r="C24" s="12" t="n"/>
      <c r="D24" s="12" t="n"/>
      <c r="E24" s="68" t="n"/>
      <c r="F24" s="73" t="n"/>
      <c r="G24" s="73" t="n"/>
      <c r="H24" s="74">
        <f>SUM(F24:G24)</f>
        <v/>
      </c>
      <c r="I24" s="75" t="n"/>
      <c r="J24" s="76">
        <f>SUM(H24*I24)</f>
        <v/>
      </c>
      <c r="K24" s="8" t="n"/>
      <c r="L24" s="77" t="n"/>
      <c r="M24" s="13" t="n"/>
      <c r="N24" s="27" t="n"/>
      <c r="O24" s="13" t="n"/>
      <c r="P24" s="13" t="n"/>
      <c r="Q24" t="inlineStr">
        <is>
          <t>EMP-02B74306</t>
        </is>
      </c>
      <c r="R24" t="inlineStr">
        <is>
          <t>Active</t>
        </is>
      </c>
    </row>
    <row r="25" ht="15.6" customHeight="1">
      <c r="A25" s="11">
        <f>ROW()-ROW($A$2)</f>
        <v/>
      </c>
      <c r="B25" s="7" t="inlineStr">
        <is>
          <t>Mukeshbhai Lakshmanbhai Nayakada</t>
        </is>
      </c>
      <c r="C25" s="12" t="n"/>
      <c r="D25" s="12" t="n"/>
      <c r="E25" s="68" t="n"/>
      <c r="F25" s="73" t="n"/>
      <c r="G25" s="73" t="n"/>
      <c r="H25" s="74">
        <f>SUM(F25:G25)</f>
        <v/>
      </c>
      <c r="I25" s="75" t="n"/>
      <c r="J25" s="76">
        <f>SUM(H25*I25)</f>
        <v/>
      </c>
      <c r="K25" s="8" t="n"/>
      <c r="L25" s="77" t="n"/>
      <c r="M25" s="13" t="n"/>
      <c r="N25" s="27" t="n"/>
      <c r="O25" s="13" t="n"/>
      <c r="P25" s="13" t="n"/>
      <c r="Q25" t="inlineStr">
        <is>
          <t>EMP-779FDAFA</t>
        </is>
      </c>
      <c r="R25" t="inlineStr">
        <is>
          <t>Active</t>
        </is>
      </c>
    </row>
    <row r="26" ht="15.6" customHeight="1">
      <c r="A26" s="11">
        <f>ROW()-ROW($A$2)</f>
        <v/>
      </c>
      <c r="B26" s="7" t="inlineStr">
        <is>
          <t>Vishalbhai Lalabhai Nayakada</t>
        </is>
      </c>
      <c r="C26" s="12" t="n"/>
      <c r="D26" s="12" t="n"/>
      <c r="E26" s="68" t="n"/>
      <c r="F26" s="73" t="n"/>
      <c r="G26" s="73" t="n"/>
      <c r="H26" s="74">
        <f>SUM(F26:G26)</f>
        <v/>
      </c>
      <c r="I26" s="75" t="n"/>
      <c r="J26" s="76">
        <f>SUM(H26*I26)</f>
        <v/>
      </c>
      <c r="K26" s="8" t="n"/>
      <c r="L26" s="77" t="n"/>
      <c r="M26" s="13" t="n"/>
      <c r="N26" s="27" t="n"/>
      <c r="O26" s="13" t="n"/>
      <c r="P26" s="13" t="n"/>
      <c r="Q26" t="inlineStr">
        <is>
          <t>EMP-C05C3B9D</t>
        </is>
      </c>
      <c r="R26" t="inlineStr">
        <is>
          <t>Active</t>
        </is>
      </c>
    </row>
    <row r="27" ht="15.6" customHeight="1">
      <c r="A27" s="11">
        <f>ROW()-ROW($A$2)</f>
        <v/>
      </c>
      <c r="B27" s="7" t="inlineStr">
        <is>
          <t>Pravinbhai Hirabhai Nayakada</t>
        </is>
      </c>
      <c r="C27" s="12" t="n"/>
      <c r="D27" s="12" t="n"/>
      <c r="E27" s="68" t="n"/>
      <c r="F27" s="73" t="n"/>
      <c r="G27" s="73" t="n"/>
      <c r="H27" s="74">
        <f>SUM(F27:G27)</f>
        <v/>
      </c>
      <c r="I27" s="75" t="n"/>
      <c r="J27" s="76">
        <f>SUM(H27*I27)</f>
        <v/>
      </c>
      <c r="K27" s="8" t="n"/>
      <c r="L27" s="77" t="n"/>
      <c r="M27" s="13" t="n"/>
      <c r="N27" s="27" t="n"/>
      <c r="O27" s="13" t="n"/>
      <c r="P27" s="13" t="n"/>
      <c r="Q27" t="inlineStr">
        <is>
          <t>EMP-9CC23C88</t>
        </is>
      </c>
      <c r="R27" t="inlineStr">
        <is>
          <t>Active</t>
        </is>
      </c>
    </row>
    <row r="28" ht="15.6" customHeight="1">
      <c r="A28" s="11">
        <f>ROW()-ROW($A$2)</f>
        <v/>
      </c>
      <c r="B28" s="7" t="inlineStr">
        <is>
          <t>Natubhai Bhurabhai Nayak</t>
        </is>
      </c>
      <c r="C28" s="12" t="n"/>
      <c r="D28" s="12" t="n"/>
      <c r="E28" s="68" t="n"/>
      <c r="F28" s="73" t="n"/>
      <c r="G28" s="73" t="n"/>
      <c r="H28" s="74">
        <f>SUM(F28:G28)</f>
        <v/>
      </c>
      <c r="I28" s="75" t="n"/>
      <c r="J28" s="76">
        <f>SUM(H28*I28)</f>
        <v/>
      </c>
      <c r="K28" s="8" t="n"/>
      <c r="L28" s="77" t="n"/>
      <c r="M28" s="13" t="n"/>
      <c r="N28" s="27" t="n"/>
      <c r="O28" s="13" t="n"/>
      <c r="P28" s="13" t="n"/>
      <c r="Q28" t="inlineStr">
        <is>
          <t>EMP-2675897F</t>
        </is>
      </c>
      <c r="R28" t="inlineStr">
        <is>
          <t>Active</t>
        </is>
      </c>
    </row>
    <row r="29" ht="15.6" customHeight="1">
      <c r="A29" s="11">
        <f>ROW()-ROW($A$2)</f>
        <v/>
      </c>
      <c r="B29" s="7" t="inlineStr">
        <is>
          <t>Chandubhai Shankerbhai Nayak</t>
        </is>
      </c>
      <c r="C29" s="12" t="n"/>
      <c r="D29" s="12" t="n"/>
      <c r="E29" s="68" t="n"/>
      <c r="F29" s="73" t="n"/>
      <c r="G29" s="73" t="n"/>
      <c r="H29" s="74">
        <f>SUM(F29:G29)</f>
        <v/>
      </c>
      <c r="I29" s="75" t="n"/>
      <c r="J29" s="76">
        <f>SUM(H29*I29)</f>
        <v/>
      </c>
      <c r="K29" s="8" t="n"/>
      <c r="L29" s="77" t="n"/>
      <c r="M29" s="13" t="n"/>
      <c r="N29" s="27" t="n"/>
      <c r="O29" s="13" t="n"/>
      <c r="P29" s="13" t="n"/>
      <c r="Q29" t="inlineStr">
        <is>
          <t>EMP-0398A1A2</t>
        </is>
      </c>
      <c r="R29" t="inlineStr">
        <is>
          <t>Active</t>
        </is>
      </c>
    </row>
    <row r="30" ht="15.6" customHeight="1">
      <c r="A30" s="11">
        <f>ROW()-ROW($A$2)</f>
        <v/>
      </c>
      <c r="B30" s="7" t="inlineStr">
        <is>
          <t>Rameshbhai Motibhai Nayak</t>
        </is>
      </c>
      <c r="C30" s="12" t="n"/>
      <c r="D30" s="12" t="n"/>
      <c r="E30" s="68" t="n"/>
      <c r="F30" s="73" t="n"/>
      <c r="G30" s="73" t="n"/>
      <c r="H30" s="74">
        <f>SUM(F30:G30)</f>
        <v/>
      </c>
      <c r="I30" s="75" t="n"/>
      <c r="J30" s="76">
        <f>SUM(H30*I30)</f>
        <v/>
      </c>
      <c r="K30" s="8" t="n"/>
      <c r="L30" s="77" t="n"/>
      <c r="M30" s="13" t="n"/>
      <c r="N30" s="27" t="n"/>
      <c r="O30" s="13" t="n"/>
      <c r="P30" s="13" t="n"/>
      <c r="Q30" t="inlineStr">
        <is>
          <t>EMP-43135932</t>
        </is>
      </c>
      <c r="R30" t="inlineStr">
        <is>
          <t>Active</t>
        </is>
      </c>
    </row>
    <row r="31" ht="15.6" customHeight="1">
      <c r="A31" s="11">
        <f>ROW()-ROW($A$2)</f>
        <v/>
      </c>
      <c r="B31" s="7" t="inlineStr">
        <is>
          <t>Pintubhai Bhalabhai Nayak</t>
        </is>
      </c>
      <c r="C31" s="12" t="n"/>
      <c r="D31" s="12" t="n"/>
      <c r="E31" s="68" t="n"/>
      <c r="F31" s="73" t="n"/>
      <c r="G31" s="73" t="n"/>
      <c r="H31" s="74">
        <f>SUM(F31:G31)</f>
        <v/>
      </c>
      <c r="I31" s="75" t="n"/>
      <c r="J31" s="76">
        <f>SUM(H31*I31)</f>
        <v/>
      </c>
      <c r="K31" s="8" t="n"/>
      <c r="L31" s="77" t="n"/>
      <c r="M31" s="13" t="n"/>
      <c r="N31" s="27" t="n"/>
      <c r="O31" s="13" t="n"/>
      <c r="P31" s="13" t="n"/>
      <c r="Q31" t="inlineStr">
        <is>
          <t>EMP-9767B072</t>
        </is>
      </c>
      <c r="R31" t="inlineStr">
        <is>
          <t>Active</t>
        </is>
      </c>
    </row>
    <row r="32" ht="15.6" customHeight="1">
      <c r="A32" s="11">
        <f>ROW()-ROW($A$2)</f>
        <v/>
      </c>
      <c r="B32" s="7" t="inlineStr">
        <is>
          <t>Devabhai Pratapbhai Nayak</t>
        </is>
      </c>
      <c r="C32" s="12" t="n"/>
      <c r="D32" s="12" t="n"/>
      <c r="E32" s="68" t="n"/>
      <c r="F32" s="73" t="n"/>
      <c r="G32" s="73" t="n"/>
      <c r="H32" s="74">
        <f>SUM(F32:G32)</f>
        <v/>
      </c>
      <c r="I32" s="75" t="n"/>
      <c r="J32" s="76">
        <f>SUM(H32*I32)</f>
        <v/>
      </c>
      <c r="K32" s="8" t="n"/>
      <c r="L32" s="77" t="n"/>
      <c r="M32" s="13" t="n"/>
      <c r="N32" s="27" t="n"/>
      <c r="O32" s="13" t="n"/>
      <c r="P32" s="13" t="n"/>
      <c r="Q32" t="inlineStr">
        <is>
          <t>EMP-17915042</t>
        </is>
      </c>
      <c r="R32" t="inlineStr">
        <is>
          <t>Active</t>
        </is>
      </c>
    </row>
    <row r="33" ht="15.6" customHeight="1">
      <c r="A33" s="11">
        <f>ROW()-ROW($A$2)</f>
        <v/>
      </c>
      <c r="B33" s="7" t="inlineStr">
        <is>
          <t>Krushna Hemraj Meghwal</t>
        </is>
      </c>
      <c r="C33" s="12" t="n"/>
      <c r="D33" s="12" t="n"/>
      <c r="E33" s="68" t="n"/>
      <c r="F33" s="73" t="n"/>
      <c r="G33" s="73" t="n"/>
      <c r="H33" s="74">
        <f>SUM(F33:G33)</f>
        <v/>
      </c>
      <c r="I33" s="75" t="n"/>
      <c r="J33" s="76">
        <f>SUM(H33*I33)</f>
        <v/>
      </c>
      <c r="K33" s="8" t="n"/>
      <c r="L33" s="77" t="n"/>
      <c r="M33" s="13" t="n"/>
      <c r="N33" s="27" t="n"/>
      <c r="O33" s="13" t="n"/>
      <c r="P33" s="13" t="n"/>
      <c r="Q33" t="inlineStr">
        <is>
          <t>EMP-93488AAF</t>
        </is>
      </c>
      <c r="R33" t="inlineStr">
        <is>
          <t>Active</t>
        </is>
      </c>
    </row>
    <row r="34" ht="15.6" customHeight="1">
      <c r="A34" s="11">
        <f>ROW()-ROW($A$2)</f>
        <v/>
      </c>
      <c r="B34" s="7" t="n"/>
      <c r="C34" s="12" t="n"/>
      <c r="D34" s="12" t="n"/>
      <c r="E34" s="68" t="n"/>
      <c r="F34" s="73" t="n"/>
      <c r="G34" s="73" t="n"/>
      <c r="H34" s="74">
        <f>SUM(F34:G34)</f>
        <v/>
      </c>
      <c r="I34" s="75" t="n"/>
      <c r="J34" s="76">
        <f>SUM(H34*I34)</f>
        <v/>
      </c>
      <c r="K34" s="8" t="n"/>
      <c r="L34" s="77" t="n"/>
      <c r="M34" s="13" t="n"/>
      <c r="N34" s="27" t="n"/>
      <c r="O34" s="13" t="n"/>
      <c r="P34" s="13" t="n"/>
    </row>
    <row r="35" ht="15.6" customHeight="1">
      <c r="A35" s="11">
        <f>ROW()-ROW($A$2)</f>
        <v/>
      </c>
      <c r="B35" s="7" t="n"/>
      <c r="C35" s="12" t="n"/>
      <c r="D35" s="12" t="n"/>
      <c r="E35" s="68" t="n"/>
      <c r="F35" s="73" t="n"/>
      <c r="G35" s="73" t="n"/>
      <c r="H35" s="74">
        <f>SUM(F35:G35)</f>
        <v/>
      </c>
      <c r="I35" s="75" t="n"/>
      <c r="J35" s="76">
        <f>SUM(H35*I35)</f>
        <v/>
      </c>
      <c r="K35" s="8" t="n"/>
      <c r="L35" s="77" t="n"/>
      <c r="M35" s="13" t="n"/>
      <c r="N35" s="27" t="n"/>
      <c r="O35" s="13" t="n"/>
      <c r="P35" s="13" t="n"/>
    </row>
    <row r="36" ht="15.6" customHeight="1">
      <c r="A36" s="11">
        <f>ROW()-ROW($A$2)</f>
        <v/>
      </c>
      <c r="B36" s="7" t="n"/>
      <c r="C36" s="12" t="n"/>
      <c r="D36" s="12" t="n"/>
      <c r="E36" s="68" t="n"/>
      <c r="F36" s="73" t="n"/>
      <c r="G36" s="73" t="n"/>
      <c r="H36" s="74">
        <f>SUM(F36:G36)</f>
        <v/>
      </c>
      <c r="I36" s="75" t="n"/>
      <c r="J36" s="76">
        <f>SUM(H36*I36)</f>
        <v/>
      </c>
      <c r="K36" s="8" t="n"/>
      <c r="L36" s="77" t="n"/>
      <c r="M36" s="13" t="n"/>
      <c r="N36" s="27" t="n"/>
      <c r="O36" s="13" t="n"/>
      <c r="P36" s="13" t="n"/>
    </row>
    <row r="37" ht="15.6" customHeight="1">
      <c r="A37" s="11">
        <f>ROW()-ROW($A$2)</f>
        <v/>
      </c>
      <c r="B37" s="7" t="n"/>
      <c r="C37" s="12" t="n"/>
      <c r="D37" s="12" t="n"/>
      <c r="E37" s="68" t="n"/>
      <c r="F37" s="73" t="n"/>
      <c r="G37" s="73" t="n"/>
      <c r="H37" s="74">
        <f>SUM(F37:G37)</f>
        <v/>
      </c>
      <c r="I37" s="75" t="n"/>
      <c r="J37" s="76">
        <f>SUM(H37*I37)</f>
        <v/>
      </c>
      <c r="K37" s="8" t="n"/>
      <c r="L37" s="77" t="n"/>
      <c r="M37" s="13" t="n"/>
      <c r="N37" s="27" t="n"/>
      <c r="O37" s="13" t="n"/>
      <c r="P37" s="13" t="n"/>
    </row>
    <row r="38" ht="15.6" customHeight="1">
      <c r="A38" s="11">
        <f>ROW()-ROW($A$2)</f>
        <v/>
      </c>
      <c r="B38" s="7" t="n"/>
      <c r="C38" s="12" t="n"/>
      <c r="D38" s="12" t="n"/>
      <c r="E38" s="68" t="n"/>
      <c r="F38" s="73" t="n"/>
      <c r="G38" s="73" t="n"/>
      <c r="H38" s="74">
        <f>SUM(F38:G38)</f>
        <v/>
      </c>
      <c r="I38" s="75" t="n"/>
      <c r="J38" s="76">
        <f>SUM(H38*I38)</f>
        <v/>
      </c>
      <c r="K38" s="8" t="n"/>
      <c r="L38" s="77" t="n"/>
      <c r="M38" s="13" t="n"/>
      <c r="N38" s="27" t="n"/>
      <c r="O38" s="13" t="n"/>
      <c r="P38" s="13" t="n"/>
    </row>
    <row r="39" ht="15.6" customHeight="1">
      <c r="A39" s="11">
        <f>ROW()-ROW($A$2)</f>
        <v/>
      </c>
      <c r="B39" s="7" t="n"/>
      <c r="C39" s="12" t="n"/>
      <c r="D39" s="12" t="n"/>
      <c r="E39" s="68" t="n"/>
      <c r="F39" s="73" t="n"/>
      <c r="G39" s="73" t="n"/>
      <c r="H39" s="74">
        <f>SUM(F39:G39)</f>
        <v/>
      </c>
      <c r="I39" s="75" t="n"/>
      <c r="J39" s="76">
        <f>SUM(H39*I39)</f>
        <v/>
      </c>
      <c r="K39" s="8" t="n"/>
      <c r="L39" s="77" t="n"/>
      <c r="M39" s="13" t="n"/>
      <c r="N39" s="27" t="n"/>
      <c r="O39" s="13" t="n"/>
      <c r="P39" s="13" t="n"/>
    </row>
    <row r="40" ht="15.6" customHeight="1">
      <c r="A40" s="11">
        <f>ROW()-ROW($A$2)</f>
        <v/>
      </c>
      <c r="B40" s="7" t="n"/>
      <c r="C40" s="12" t="n"/>
      <c r="D40" s="12" t="n"/>
      <c r="E40" s="68" t="n"/>
      <c r="F40" s="73" t="n"/>
      <c r="G40" s="73" t="n"/>
      <c r="H40" s="74">
        <f>SUM(F40:G40)</f>
        <v/>
      </c>
      <c r="I40" s="75" t="n"/>
      <c r="J40" s="76">
        <f>SUM(H40*I40)</f>
        <v/>
      </c>
      <c r="K40" s="8" t="n"/>
      <c r="L40" s="77" t="n"/>
      <c r="M40" s="13" t="n"/>
      <c r="N40" s="27" t="n"/>
      <c r="O40" s="13" t="n"/>
      <c r="P40" s="13" t="n"/>
    </row>
    <row r="41" ht="15.6" customHeight="1">
      <c r="A41" s="11">
        <f>ROW()-ROW($A$2)</f>
        <v/>
      </c>
      <c r="B41" s="7" t="n"/>
      <c r="C41" s="12" t="n"/>
      <c r="D41" s="12" t="n"/>
      <c r="E41" s="68" t="n"/>
      <c r="F41" s="73" t="n"/>
      <c r="G41" s="73" t="n"/>
      <c r="H41" s="74">
        <f>SUM(F41:G41)</f>
        <v/>
      </c>
      <c r="I41" s="75" t="n"/>
      <c r="J41" s="76">
        <f>SUM(H41*I41)</f>
        <v/>
      </c>
      <c r="K41" s="8" t="n"/>
      <c r="L41" s="77" t="n"/>
      <c r="M41" s="13" t="n"/>
      <c r="N41" s="27" t="n"/>
      <c r="O41" s="13" t="n"/>
      <c r="P41" s="13" t="n"/>
    </row>
    <row r="42" ht="15.6" customHeight="1">
      <c r="A42" s="11">
        <f>ROW()-ROW($A$2)</f>
        <v/>
      </c>
      <c r="B42" s="7" t="n"/>
      <c r="C42" s="12" t="n"/>
      <c r="D42" s="12" t="n"/>
      <c r="E42" s="68" t="n"/>
      <c r="F42" s="73" t="n"/>
      <c r="G42" s="73" t="n"/>
      <c r="H42" s="74">
        <f>SUM(F42:G42)</f>
        <v/>
      </c>
      <c r="I42" s="75" t="n"/>
      <c r="J42" s="76">
        <f>SUM(H42*I42)</f>
        <v/>
      </c>
      <c r="K42" s="8" t="n"/>
      <c r="L42" s="77" t="n"/>
      <c r="M42" s="13" t="n"/>
      <c r="N42" s="27" t="n"/>
      <c r="O42" s="13" t="n"/>
      <c r="P42" s="13" t="n"/>
    </row>
    <row r="43" ht="15.6" customHeight="1">
      <c r="A43" s="11">
        <f>ROW()-ROW($A$2)</f>
        <v/>
      </c>
      <c r="B43" s="7" t="n"/>
      <c r="C43" s="12" t="n"/>
      <c r="D43" s="12" t="n"/>
      <c r="E43" s="68" t="n"/>
      <c r="F43" s="73" t="n"/>
      <c r="G43" s="73" t="n"/>
      <c r="H43" s="74">
        <f>SUM(F43:G43)</f>
        <v/>
      </c>
      <c r="I43" s="75" t="n"/>
      <c r="J43" s="76">
        <f>SUM(H43*I43)</f>
        <v/>
      </c>
      <c r="K43" s="8" t="n"/>
      <c r="L43" s="77" t="n"/>
      <c r="M43" s="13" t="n"/>
      <c r="N43" s="27" t="n"/>
      <c r="O43" s="13" t="n"/>
      <c r="P43" s="13" t="n"/>
    </row>
    <row r="44" ht="15.6" customHeight="1">
      <c r="A44" s="11">
        <f>ROW()-ROW($A$2)</f>
        <v/>
      </c>
      <c r="B44" s="7" t="n"/>
      <c r="C44" s="12" t="n"/>
      <c r="D44" s="12" t="n"/>
      <c r="E44" s="68" t="n"/>
      <c r="F44" s="73" t="n"/>
      <c r="G44" s="73" t="n"/>
      <c r="H44" s="74">
        <f>SUM(F44:G44)</f>
        <v/>
      </c>
      <c r="I44" s="75" t="n"/>
      <c r="J44" s="76">
        <f>SUM(H44*I44)</f>
        <v/>
      </c>
      <c r="K44" s="8" t="n"/>
      <c r="L44" s="77" t="n"/>
      <c r="M44" s="13" t="n"/>
      <c r="N44" s="27" t="n"/>
      <c r="O44" s="13" t="n"/>
      <c r="P44" s="13" t="n"/>
    </row>
    <row r="45" ht="15.6" customHeight="1">
      <c r="A45" s="11">
        <f>ROW()-ROW($A$2)</f>
        <v/>
      </c>
      <c r="B45" s="7" t="n"/>
      <c r="C45" s="12" t="n"/>
      <c r="D45" s="12" t="n"/>
      <c r="E45" s="68" t="n"/>
      <c r="F45" s="73" t="n"/>
      <c r="G45" s="73" t="n"/>
      <c r="H45" s="74">
        <f>SUM(F45:G45)</f>
        <v/>
      </c>
      <c r="I45" s="75" t="n"/>
      <c r="J45" s="76">
        <f>SUM(H45*I45)</f>
        <v/>
      </c>
      <c r="K45" s="8" t="n"/>
      <c r="L45" s="77" t="n"/>
      <c r="M45" s="13" t="n"/>
      <c r="N45" s="27" t="n"/>
      <c r="O45" s="13" t="n"/>
      <c r="P45" s="13" t="n"/>
    </row>
    <row r="46" ht="15.6" customHeight="1">
      <c r="A46" s="11">
        <f>ROW()-ROW($A$2)</f>
        <v/>
      </c>
      <c r="B46" s="7" t="n"/>
      <c r="C46" s="12" t="n"/>
      <c r="D46" s="12" t="n"/>
      <c r="E46" s="68" t="n"/>
      <c r="F46" s="73" t="n"/>
      <c r="G46" s="73" t="n"/>
      <c r="H46" s="74">
        <f>SUM(F46:G46)</f>
        <v/>
      </c>
      <c r="I46" s="75" t="n"/>
      <c r="J46" s="76">
        <f>SUM(H46*I46)</f>
        <v/>
      </c>
      <c r="K46" s="8" t="n"/>
      <c r="L46" s="77" t="n"/>
      <c r="M46" s="13" t="n"/>
      <c r="N46" s="27" t="n"/>
      <c r="O46" s="13" t="n"/>
      <c r="P46" s="13" t="n"/>
    </row>
    <row r="47" ht="15.6" customHeight="1">
      <c r="A47" s="11">
        <f>ROW()-ROW($A$2)</f>
        <v/>
      </c>
      <c r="B47" s="7" t="n"/>
      <c r="C47" s="12" t="n"/>
      <c r="D47" s="12" t="n"/>
      <c r="E47" s="68" t="n"/>
      <c r="F47" s="73" t="n"/>
      <c r="G47" s="73" t="n"/>
      <c r="H47" s="74">
        <f>SUM(F47:G47)</f>
        <v/>
      </c>
      <c r="I47" s="75" t="n"/>
      <c r="J47" s="76">
        <f>SUM(H47*I47)</f>
        <v/>
      </c>
      <c r="K47" s="8" t="n"/>
      <c r="L47" s="77" t="n"/>
      <c r="M47" s="13" t="n"/>
      <c r="N47" s="27" t="n"/>
      <c r="O47" s="13" t="n"/>
      <c r="P47" s="13" t="n"/>
    </row>
    <row r="48" ht="15.6" customHeight="1">
      <c r="A48" s="11">
        <f>ROW()-ROW($A$2)</f>
        <v/>
      </c>
      <c r="B48" s="7" t="n"/>
      <c r="C48" s="12" t="n"/>
      <c r="D48" s="12" t="n"/>
      <c r="E48" s="68" t="n"/>
      <c r="F48" s="73" t="n"/>
      <c r="G48" s="73" t="n"/>
      <c r="H48" s="74">
        <f>SUM(F48:G48)</f>
        <v/>
      </c>
      <c r="I48" s="75" t="n"/>
      <c r="J48" s="76">
        <f>SUM(H48*I48)</f>
        <v/>
      </c>
      <c r="K48" s="8" t="n"/>
      <c r="L48" s="77" t="n"/>
      <c r="M48" s="13" t="n"/>
      <c r="N48" s="27" t="n"/>
      <c r="O48" s="13" t="n"/>
      <c r="P48" s="13" t="n"/>
    </row>
    <row r="49" ht="15.6" customHeight="1">
      <c r="A49" s="11">
        <f>ROW()-ROW($A$2)</f>
        <v/>
      </c>
      <c r="B49" s="7" t="n"/>
      <c r="C49" s="12" t="n"/>
      <c r="D49" s="12" t="n"/>
      <c r="E49" s="68" t="n"/>
      <c r="F49" s="73" t="n"/>
      <c r="G49" s="73" t="n"/>
      <c r="H49" s="74">
        <f>SUM(F49:G49)</f>
        <v/>
      </c>
      <c r="I49" s="75" t="n"/>
      <c r="J49" s="76">
        <f>SUM(H49*I49)</f>
        <v/>
      </c>
      <c r="K49" s="8" t="n"/>
      <c r="L49" s="77" t="n"/>
      <c r="M49" s="13" t="n"/>
      <c r="N49" s="27" t="n"/>
      <c r="O49" s="13" t="n"/>
      <c r="P49" s="13" t="n"/>
    </row>
    <row r="50" ht="15.6" customHeight="1">
      <c r="A50" s="11">
        <f>ROW()-ROW($A$2)</f>
        <v/>
      </c>
      <c r="B50" s="7" t="n"/>
      <c r="C50" s="12" t="n"/>
      <c r="D50" s="12" t="n"/>
      <c r="E50" s="68" t="n"/>
      <c r="F50" s="73" t="n"/>
      <c r="G50" s="73" t="n"/>
      <c r="H50" s="74">
        <f>SUM(F50:G50)</f>
        <v/>
      </c>
      <c r="I50" s="75" t="n"/>
      <c r="J50" s="76">
        <f>SUM(H50*I50)</f>
        <v/>
      </c>
      <c r="K50" s="8" t="n"/>
      <c r="L50" s="77" t="n"/>
      <c r="M50" s="13" t="n"/>
      <c r="N50" s="27" t="n"/>
      <c r="O50" s="13" t="n"/>
      <c r="P50" s="13" t="n"/>
    </row>
    <row r="51" ht="15.6" customHeight="1">
      <c r="A51" s="11">
        <f>ROW()-ROW($A$2)</f>
        <v/>
      </c>
      <c r="B51" s="7" t="n"/>
      <c r="C51" s="12" t="n"/>
      <c r="D51" s="12" t="n"/>
      <c r="E51" s="68" t="n"/>
      <c r="F51" s="73" t="n"/>
      <c r="G51" s="73" t="n"/>
      <c r="H51" s="74">
        <f>SUM(F51:G51)</f>
        <v/>
      </c>
      <c r="I51" s="75" t="n"/>
      <c r="J51" s="76">
        <f>SUM(H51*I51)</f>
        <v/>
      </c>
      <c r="K51" s="8" t="n"/>
      <c r="L51" s="77" t="n"/>
      <c r="M51" s="13" t="n"/>
      <c r="N51" s="27" t="n"/>
      <c r="O51" s="13" t="n"/>
      <c r="P51" s="13" t="n"/>
    </row>
    <row r="52" ht="15.6" customHeight="1">
      <c r="A52" s="11">
        <f>ROW()-ROW($A$2)</f>
        <v/>
      </c>
      <c r="B52" s="7" t="n"/>
      <c r="C52" s="12" t="n"/>
      <c r="D52" s="12" t="n"/>
      <c r="E52" s="68" t="n"/>
      <c r="F52" s="73" t="n"/>
      <c r="G52" s="73" t="n"/>
      <c r="H52" s="74">
        <f>SUM(F52:G52)</f>
        <v/>
      </c>
      <c r="I52" s="75" t="n"/>
      <c r="J52" s="76">
        <f>SUM(H52*I52)</f>
        <v/>
      </c>
      <c r="K52" s="8" t="n"/>
      <c r="L52" s="77" t="n"/>
      <c r="M52" s="13" t="n"/>
      <c r="N52" s="27" t="n"/>
      <c r="O52" s="13" t="n"/>
      <c r="P52" s="13" t="n"/>
    </row>
    <row r="53" ht="15.6" customHeight="1">
      <c r="A53" s="11">
        <f>ROW()-ROW($A$2)</f>
        <v/>
      </c>
      <c r="B53" s="7" t="n"/>
      <c r="C53" s="12" t="n"/>
      <c r="D53" s="12" t="n"/>
      <c r="E53" s="68" t="n"/>
      <c r="F53" s="73" t="n"/>
      <c r="G53" s="73" t="n"/>
      <c r="H53" s="74">
        <f>SUM(F53:G53)</f>
        <v/>
      </c>
      <c r="I53" s="75" t="n"/>
      <c r="J53" s="76">
        <f>SUM(H53*I53)</f>
        <v/>
      </c>
      <c r="K53" s="8" t="n"/>
      <c r="L53" s="77" t="n"/>
      <c r="M53" s="13" t="n"/>
      <c r="N53" s="27" t="n"/>
      <c r="O53" s="13" t="n"/>
      <c r="P53" s="13" t="n"/>
    </row>
    <row r="54" ht="15.6" customHeight="1">
      <c r="A54" s="11">
        <f>ROW()-ROW($A$2)</f>
        <v/>
      </c>
      <c r="B54" s="7" t="n"/>
      <c r="C54" s="12" t="n"/>
      <c r="D54" s="12" t="n"/>
      <c r="E54" s="68" t="n"/>
      <c r="F54" s="73" t="n"/>
      <c r="G54" s="73" t="n"/>
      <c r="H54" s="74">
        <f>SUM(F54:G54)</f>
        <v/>
      </c>
      <c r="I54" s="75" t="n"/>
      <c r="J54" s="76">
        <f>SUM(H54*I54)</f>
        <v/>
      </c>
      <c r="K54" s="8" t="n"/>
      <c r="L54" s="77" t="n"/>
      <c r="M54" s="13" t="n"/>
      <c r="N54" s="27" t="n"/>
      <c r="O54" s="13" t="n"/>
      <c r="P54" s="13" t="n"/>
    </row>
    <row r="55" ht="15.6" customHeight="1">
      <c r="A55" s="11">
        <f>ROW()-ROW($A$2)</f>
        <v/>
      </c>
      <c r="B55" s="7" t="n"/>
      <c r="C55" s="12" t="n"/>
      <c r="D55" s="12" t="n"/>
      <c r="E55" s="68" t="n"/>
      <c r="F55" s="73" t="n"/>
      <c r="G55" s="73" t="n"/>
      <c r="H55" s="74">
        <f>SUM(F55:G55)</f>
        <v/>
      </c>
      <c r="I55" s="75" t="n"/>
      <c r="J55" s="76">
        <f>SUM(H55*I55)</f>
        <v/>
      </c>
      <c r="K55" s="8" t="n"/>
      <c r="L55" s="77" t="n"/>
      <c r="M55" s="13" t="n"/>
      <c r="N55" s="27" t="n"/>
      <c r="O55" s="13" t="n"/>
      <c r="P55" s="13" t="n"/>
    </row>
    <row r="56" ht="15.6" customHeight="1">
      <c r="A56" s="11">
        <f>ROW()-ROW($A$2)</f>
        <v/>
      </c>
      <c r="B56" s="7" t="n"/>
      <c r="C56" s="12" t="n"/>
      <c r="D56" s="12" t="n"/>
      <c r="E56" s="68" t="n"/>
      <c r="F56" s="73" t="n"/>
      <c r="G56" s="73" t="n"/>
      <c r="H56" s="74">
        <f>SUM(F56:G56)</f>
        <v/>
      </c>
      <c r="I56" s="75" t="n"/>
      <c r="J56" s="76">
        <f>SUM(H56*I56)</f>
        <v/>
      </c>
      <c r="K56" s="8" t="n"/>
      <c r="L56" s="77" t="n"/>
      <c r="M56" s="13" t="n"/>
      <c r="N56" s="27" t="n"/>
      <c r="O56" s="13" t="n"/>
      <c r="P56" s="13" t="n"/>
    </row>
    <row r="57" ht="15.6" customHeight="1">
      <c r="A57" s="11">
        <f>ROW()-ROW($A$2)</f>
        <v/>
      </c>
      <c r="B57" s="7" t="n"/>
      <c r="C57" s="12" t="n"/>
      <c r="D57" s="12" t="n"/>
      <c r="E57" s="68" t="n"/>
      <c r="F57" s="73" t="n"/>
      <c r="G57" s="73" t="n"/>
      <c r="H57" s="74">
        <f>SUM(F57:G57)</f>
        <v/>
      </c>
      <c r="I57" s="75" t="n"/>
      <c r="J57" s="76">
        <f>SUM(H57*I57)</f>
        <v/>
      </c>
      <c r="K57" s="8" t="n"/>
      <c r="L57" s="77" t="n"/>
      <c r="M57" s="13" t="n"/>
      <c r="N57" s="27" t="n"/>
      <c r="O57" s="13" t="n"/>
      <c r="P57" s="13" t="n"/>
    </row>
    <row r="58" ht="15.6" customHeight="1">
      <c r="A58" s="11">
        <f>ROW()-ROW($A$2)</f>
        <v/>
      </c>
      <c r="B58" s="7" t="n"/>
      <c r="C58" s="12" t="n"/>
      <c r="D58" s="12" t="n"/>
      <c r="E58" s="68" t="n"/>
      <c r="F58" s="73" t="n"/>
      <c r="G58" s="73" t="n"/>
      <c r="H58" s="74">
        <f>SUM(F58:G58)</f>
        <v/>
      </c>
      <c r="I58" s="75" t="n"/>
      <c r="J58" s="76">
        <f>SUM(H58*I58)</f>
        <v/>
      </c>
      <c r="K58" s="8" t="n"/>
      <c r="L58" s="77" t="n"/>
      <c r="M58" s="13" t="n"/>
      <c r="N58" s="27" t="n"/>
      <c r="O58" s="13" t="n"/>
      <c r="P58" s="13" t="n"/>
    </row>
    <row r="59" ht="15.6" customHeight="1">
      <c r="A59" s="11">
        <f>ROW()-ROW($A$2)</f>
        <v/>
      </c>
      <c r="B59" s="7" t="n"/>
      <c r="C59" s="12" t="n"/>
      <c r="D59" s="12" t="n"/>
      <c r="E59" s="68" t="n"/>
      <c r="F59" s="73" t="n"/>
      <c r="G59" s="73" t="n"/>
      <c r="H59" s="74">
        <f>SUM(F59:G59)</f>
        <v/>
      </c>
      <c r="I59" s="75" t="n"/>
      <c r="J59" s="76">
        <f>SUM(H59*I59)</f>
        <v/>
      </c>
      <c r="K59" s="8" t="n"/>
      <c r="L59" s="77" t="n"/>
      <c r="M59" s="13" t="n"/>
      <c r="N59" s="27" t="n"/>
      <c r="O59" s="13" t="n"/>
      <c r="P59" s="13" t="n"/>
    </row>
    <row r="60" ht="15.6" customHeight="1">
      <c r="A60" s="11">
        <f>ROW()-ROW($A$2)</f>
        <v/>
      </c>
      <c r="B60" s="7" t="n"/>
      <c r="C60" s="12" t="n"/>
      <c r="D60" s="12" t="n"/>
      <c r="E60" s="68" t="n"/>
      <c r="F60" s="73" t="n"/>
      <c r="G60" s="73" t="n"/>
      <c r="H60" s="74">
        <f>SUM(F60:G60)</f>
        <v/>
      </c>
      <c r="I60" s="75" t="n"/>
      <c r="J60" s="76">
        <f>SUM(H60*I60)</f>
        <v/>
      </c>
      <c r="K60" s="8" t="n"/>
      <c r="L60" s="77" t="n"/>
      <c r="M60" s="13" t="n"/>
      <c r="N60" s="27" t="n"/>
      <c r="O60" s="13" t="n"/>
      <c r="P60" s="13" t="n"/>
    </row>
    <row r="61" ht="15.6" customHeight="1">
      <c r="A61" s="11">
        <f>ROW()-ROW($A$2)</f>
        <v/>
      </c>
      <c r="B61" s="7" t="n"/>
      <c r="C61" s="12" t="n"/>
      <c r="D61" s="12" t="n"/>
      <c r="E61" s="68" t="n"/>
      <c r="F61" s="73" t="n"/>
      <c r="G61" s="73" t="n"/>
      <c r="H61" s="74">
        <f>SUM(F61:G61)</f>
        <v/>
      </c>
      <c r="I61" s="75" t="n"/>
      <c r="J61" s="76">
        <f>SUM(H61*I61)</f>
        <v/>
      </c>
      <c r="K61" s="8" t="n"/>
      <c r="L61" s="77" t="n"/>
      <c r="M61" s="13" t="n"/>
      <c r="N61" s="27" t="n"/>
      <c r="O61" s="13" t="n"/>
      <c r="P61" s="13" t="n"/>
    </row>
    <row r="62" ht="15.6" customHeight="1">
      <c r="A62" s="11">
        <f>ROW()-ROW($A$2)</f>
        <v/>
      </c>
      <c r="B62" s="7" t="n"/>
      <c r="C62" s="12" t="n"/>
      <c r="D62" s="12" t="n"/>
      <c r="E62" s="68" t="n"/>
      <c r="F62" s="73" t="n"/>
      <c r="G62" s="73" t="n"/>
      <c r="H62" s="74">
        <f>SUM(F62:G62)</f>
        <v/>
      </c>
      <c r="I62" s="75" t="n"/>
      <c r="J62" s="76">
        <f>SUM(H62*I62)</f>
        <v/>
      </c>
      <c r="K62" s="8" t="n"/>
      <c r="L62" s="77" t="n"/>
      <c r="M62" s="13" t="n"/>
      <c r="N62" s="27" t="n"/>
      <c r="O62" s="13" t="n"/>
      <c r="P62" s="13" t="n"/>
    </row>
    <row r="63" ht="15.6" customHeight="1">
      <c r="A63" s="11">
        <f>ROW()-ROW($A$2)</f>
        <v/>
      </c>
      <c r="B63" s="7" t="n"/>
      <c r="C63" s="12" t="n"/>
      <c r="D63" s="12" t="n"/>
      <c r="E63" s="68" t="n"/>
      <c r="F63" s="73" t="n"/>
      <c r="G63" s="73" t="n"/>
      <c r="H63" s="74">
        <f>SUM(F63:G63)</f>
        <v/>
      </c>
      <c r="I63" s="75" t="n"/>
      <c r="J63" s="76">
        <f>SUM(H63*I63)</f>
        <v/>
      </c>
      <c r="K63" s="8" t="n"/>
      <c r="L63" s="77" t="n"/>
      <c r="M63" s="13" t="n"/>
      <c r="N63" s="27" t="n"/>
      <c r="O63" s="13" t="n"/>
      <c r="P63" s="13" t="n"/>
    </row>
    <row r="64" ht="15.6" customHeight="1">
      <c r="A64" s="11">
        <f>ROW()-ROW($A$2)</f>
        <v/>
      </c>
      <c r="B64" s="7" t="n"/>
      <c r="C64" s="12" t="n"/>
      <c r="D64" s="12" t="n"/>
      <c r="E64" s="68" t="n"/>
      <c r="F64" s="73" t="n"/>
      <c r="G64" s="73" t="n"/>
      <c r="H64" s="74">
        <f>SUM(F64:G64)</f>
        <v/>
      </c>
      <c r="I64" s="75" t="n"/>
      <c r="J64" s="76">
        <f>SUM(H64*I64)</f>
        <v/>
      </c>
      <c r="K64" s="8" t="n"/>
      <c r="L64" s="77" t="n"/>
      <c r="M64" s="13" t="n"/>
      <c r="N64" s="27" t="n"/>
      <c r="O64" s="13" t="n"/>
      <c r="P64" s="13" t="n"/>
    </row>
    <row r="65" ht="15.6" customHeight="1">
      <c r="A65" s="11">
        <f>ROW()-ROW($A$2)</f>
        <v/>
      </c>
      <c r="B65" s="7" t="n"/>
      <c r="C65" s="12" t="n"/>
      <c r="D65" s="12" t="n"/>
      <c r="E65" s="68" t="n"/>
      <c r="F65" s="73" t="n"/>
      <c r="G65" s="73" t="n"/>
      <c r="H65" s="74">
        <f>SUM(F65:G65)</f>
        <v/>
      </c>
      <c r="I65" s="75" t="n"/>
      <c r="J65" s="76">
        <f>SUM(H65*I65)</f>
        <v/>
      </c>
      <c r="K65" s="8" t="n"/>
      <c r="L65" s="77" t="n"/>
      <c r="M65" s="13" t="n"/>
      <c r="N65" s="27" t="n"/>
      <c r="O65" s="13" t="n"/>
      <c r="P65" s="13" t="n"/>
    </row>
    <row r="66" ht="15.6" customHeight="1">
      <c r="A66" s="11">
        <f>ROW()-ROW($A$2)</f>
        <v/>
      </c>
      <c r="B66" s="7" t="n"/>
      <c r="C66" s="12" t="n"/>
      <c r="D66" s="12" t="n"/>
      <c r="E66" s="68" t="n"/>
      <c r="F66" s="73" t="n"/>
      <c r="G66" s="73" t="n"/>
      <c r="H66" s="74">
        <f>SUM(F66:G66)</f>
        <v/>
      </c>
      <c r="I66" s="75" t="n"/>
      <c r="J66" s="76">
        <f>SUM(H66*I66)</f>
        <v/>
      </c>
      <c r="K66" s="8" t="n"/>
      <c r="L66" s="77" t="n"/>
      <c r="M66" s="13" t="n"/>
      <c r="N66" s="27" t="n"/>
      <c r="O66" s="13" t="n"/>
      <c r="P66" s="13" t="n"/>
    </row>
    <row r="67" ht="15.6" customHeight="1">
      <c r="A67" s="11">
        <f>ROW()-ROW($A$2)</f>
        <v/>
      </c>
      <c r="B67" s="7" t="n"/>
      <c r="C67" s="12" t="n"/>
      <c r="D67" s="12" t="n"/>
      <c r="E67" s="68" t="n"/>
      <c r="F67" s="73" t="n"/>
      <c r="G67" s="73" t="n"/>
      <c r="H67" s="74">
        <f>SUM(F67:G67)</f>
        <v/>
      </c>
      <c r="I67" s="75" t="n"/>
      <c r="J67" s="76">
        <f>SUM(H67*I67)</f>
        <v/>
      </c>
      <c r="K67" s="8" t="n"/>
      <c r="L67" s="77" t="n"/>
      <c r="M67" s="13" t="n"/>
      <c r="N67" s="27" t="n"/>
      <c r="O67" s="13" t="n"/>
      <c r="P67" s="13" t="n"/>
    </row>
    <row r="68" ht="15.6" customHeight="1">
      <c r="A68" s="11">
        <f>ROW()-ROW($A$2)</f>
        <v/>
      </c>
      <c r="B68" s="7" t="n"/>
      <c r="C68" s="12" t="n"/>
      <c r="D68" s="12" t="n"/>
      <c r="E68" s="68" t="n"/>
      <c r="F68" s="73" t="n"/>
      <c r="G68" s="73" t="n"/>
      <c r="H68" s="74">
        <f>SUM(F68:G68)</f>
        <v/>
      </c>
      <c r="I68" s="75" t="n"/>
      <c r="J68" s="76">
        <f>SUM(H68*I68)</f>
        <v/>
      </c>
      <c r="K68" s="8" t="n"/>
      <c r="L68" s="77" t="n"/>
      <c r="M68" s="13" t="n"/>
      <c r="N68" s="27" t="n"/>
      <c r="O68" s="13" t="n"/>
      <c r="P68" s="13" t="n"/>
    </row>
    <row r="69" ht="15.6" customHeight="1">
      <c r="A69" s="11">
        <f>ROW()-ROW($A$2)</f>
        <v/>
      </c>
      <c r="B69" s="7" t="n"/>
      <c r="C69" s="12" t="n"/>
      <c r="D69" s="12" t="n"/>
      <c r="E69" s="68" t="n"/>
      <c r="F69" s="73" t="n"/>
      <c r="G69" s="73" t="n"/>
      <c r="H69" s="74">
        <f>SUM(F69:G69)</f>
        <v/>
      </c>
      <c r="I69" s="75" t="n"/>
      <c r="J69" s="76">
        <f>SUM(H69*I69)</f>
        <v/>
      </c>
      <c r="K69" s="8" t="n"/>
      <c r="L69" s="77" t="n"/>
      <c r="M69" s="13" t="n"/>
      <c r="N69" s="27" t="n"/>
      <c r="O69" s="13" t="n"/>
      <c r="P69" s="13" t="n"/>
    </row>
    <row r="70" ht="15.6" customHeight="1">
      <c r="A70" s="11">
        <f>ROW()-ROW($A$2)</f>
        <v/>
      </c>
      <c r="B70" s="7" t="n"/>
      <c r="C70" s="12" t="n"/>
      <c r="D70" s="12" t="n"/>
      <c r="E70" s="68" t="n"/>
      <c r="F70" s="73" t="n"/>
      <c r="G70" s="73" t="n"/>
      <c r="H70" s="74">
        <f>SUM(F70:G70)</f>
        <v/>
      </c>
      <c r="I70" s="75" t="n"/>
      <c r="J70" s="76">
        <f>SUM(H70*I70)</f>
        <v/>
      </c>
      <c r="K70" s="8" t="n"/>
      <c r="L70" s="77" t="n"/>
      <c r="M70" s="13" t="n"/>
      <c r="N70" s="27" t="n"/>
      <c r="O70" s="13" t="n"/>
      <c r="P70" s="13" t="n"/>
    </row>
    <row r="71" ht="15.6" customHeight="1">
      <c r="A71" s="11">
        <f>ROW()-ROW($A$2)</f>
        <v/>
      </c>
      <c r="B71" s="7" t="n"/>
      <c r="C71" s="12" t="n"/>
      <c r="D71" s="12" t="n"/>
      <c r="E71" s="68" t="n"/>
      <c r="F71" s="73" t="n"/>
      <c r="G71" s="73" t="n"/>
      <c r="H71" s="74">
        <f>SUM(F71:G71)</f>
        <v/>
      </c>
      <c r="I71" s="75" t="n"/>
      <c r="J71" s="76">
        <f>SUM(H71*I71)</f>
        <v/>
      </c>
      <c r="K71" s="8" t="n"/>
      <c r="L71" s="77" t="n"/>
      <c r="M71" s="13" t="n"/>
      <c r="N71" s="27" t="n"/>
      <c r="O71" s="13" t="n"/>
      <c r="P71" s="13" t="n"/>
    </row>
    <row r="72" ht="15.6" customHeight="1">
      <c r="A72" s="11">
        <f>ROW()-ROW($A$2)</f>
        <v/>
      </c>
      <c r="B72" s="7" t="n"/>
      <c r="C72" s="12" t="n"/>
      <c r="D72" s="12" t="n"/>
      <c r="E72" s="68" t="n"/>
      <c r="F72" s="73" t="n"/>
      <c r="G72" s="73" t="n"/>
      <c r="H72" s="74">
        <f>SUM(F72:G72)</f>
        <v/>
      </c>
      <c r="I72" s="75" t="n"/>
      <c r="J72" s="76">
        <f>SUM(H72*I72)</f>
        <v/>
      </c>
      <c r="K72" s="8" t="n"/>
      <c r="L72" s="77" t="n"/>
      <c r="M72" s="13" t="n"/>
      <c r="N72" s="27" t="n"/>
      <c r="O72" s="13" t="n"/>
      <c r="P72" s="13" t="n"/>
    </row>
    <row r="73" ht="15.6" customHeight="1">
      <c r="A73" s="11">
        <f>ROW()-ROW($A$2)</f>
        <v/>
      </c>
      <c r="B73" s="7" t="n"/>
      <c r="C73" s="12" t="n"/>
      <c r="D73" s="12" t="n"/>
      <c r="E73" s="68" t="n"/>
      <c r="F73" s="73" t="n"/>
      <c r="G73" s="73" t="n"/>
      <c r="H73" s="74">
        <f>SUM(F73:G73)</f>
        <v/>
      </c>
      <c r="I73" s="75" t="n"/>
      <c r="J73" s="76">
        <f>SUM(H73*I73)</f>
        <v/>
      </c>
      <c r="K73" s="8" t="n"/>
      <c r="L73" s="77" t="n"/>
      <c r="M73" s="13" t="n"/>
      <c r="N73" s="27" t="n"/>
      <c r="O73" s="13" t="n"/>
      <c r="P73" s="13" t="n"/>
    </row>
    <row r="74" ht="15.6" customHeight="1">
      <c r="A74" s="11">
        <f>ROW()-ROW($A$2)</f>
        <v/>
      </c>
      <c r="B74" s="7" t="n"/>
      <c r="C74" s="12" t="n"/>
      <c r="D74" s="12" t="n"/>
      <c r="E74" s="68" t="n"/>
      <c r="F74" s="73" t="n"/>
      <c r="G74" s="73" t="n"/>
      <c r="H74" s="74">
        <f>SUM(F74:G74)</f>
        <v/>
      </c>
      <c r="I74" s="75" t="n"/>
      <c r="J74" s="76">
        <f>SUM(H74*I74)</f>
        <v/>
      </c>
      <c r="K74" s="8" t="n"/>
      <c r="L74" s="77" t="n"/>
      <c r="M74" s="13" t="n"/>
      <c r="N74" s="27" t="n"/>
      <c r="O74" s="13" t="n"/>
      <c r="P74" s="13" t="n"/>
    </row>
    <row r="75" ht="15.6" customHeight="1">
      <c r="A75" s="11">
        <f>ROW()-ROW($A$2)</f>
        <v/>
      </c>
      <c r="B75" s="7" t="n"/>
      <c r="C75" s="12" t="n"/>
      <c r="D75" s="12" t="n"/>
      <c r="E75" s="68" t="n"/>
      <c r="F75" s="73" t="n"/>
      <c r="G75" s="73" t="n"/>
      <c r="H75" s="74">
        <f>SUM(F75:G75)</f>
        <v/>
      </c>
      <c r="I75" s="75" t="n"/>
      <c r="J75" s="76">
        <f>SUM(H75*I75)</f>
        <v/>
      </c>
      <c r="K75" s="8" t="n"/>
      <c r="L75" s="77" t="n"/>
      <c r="M75" s="13" t="n"/>
      <c r="N75" s="27" t="n"/>
      <c r="O75" s="13" t="n"/>
      <c r="P75" s="13" t="n"/>
    </row>
    <row r="76" ht="15.6" customHeight="1">
      <c r="A76" s="11">
        <f>ROW()-ROW($A$2)</f>
        <v/>
      </c>
      <c r="B76" s="7" t="n"/>
      <c r="C76" s="12" t="n"/>
      <c r="D76" s="12" t="n"/>
      <c r="E76" s="68" t="n"/>
      <c r="F76" s="73" t="n"/>
      <c r="G76" s="73" t="n"/>
      <c r="H76" s="74">
        <f>SUM(F76:G76)</f>
        <v/>
      </c>
      <c r="I76" s="75" t="n"/>
      <c r="J76" s="76">
        <f>SUM(H76*I76)</f>
        <v/>
      </c>
      <c r="K76" s="8" t="n"/>
      <c r="L76" s="77" t="n"/>
      <c r="M76" s="13" t="n"/>
      <c r="N76" s="27" t="n"/>
      <c r="O76" s="13" t="n"/>
      <c r="P76" s="13" t="n"/>
    </row>
    <row r="77" ht="15.6" customHeight="1">
      <c r="A77" s="11">
        <f>ROW()-ROW($A$2)</f>
        <v/>
      </c>
      <c r="B77" s="7" t="n"/>
      <c r="C77" s="12" t="n"/>
      <c r="D77" s="12" t="n"/>
      <c r="E77" s="68" t="n"/>
      <c r="F77" s="73" t="n"/>
      <c r="G77" s="73" t="n"/>
      <c r="H77" s="74">
        <f>SUM(F77:G77)</f>
        <v/>
      </c>
      <c r="I77" s="75" t="n"/>
      <c r="J77" s="76">
        <f>SUM(H77*I77)</f>
        <v/>
      </c>
      <c r="K77" s="8" t="n"/>
      <c r="L77" s="77" t="n"/>
      <c r="M77" s="13" t="n"/>
      <c r="N77" s="27" t="n"/>
      <c r="O77" s="13" t="n"/>
      <c r="P77" s="13" t="n"/>
    </row>
    <row r="78" ht="15.6" customHeight="1">
      <c r="A78" s="11">
        <f>ROW()-ROW($A$2)</f>
        <v/>
      </c>
      <c r="B78" s="7" t="n"/>
      <c r="C78" s="12" t="n"/>
      <c r="D78" s="12" t="n"/>
      <c r="E78" s="68" t="n"/>
      <c r="F78" s="73" t="n"/>
      <c r="G78" s="73" t="n"/>
      <c r="H78" s="74">
        <f>SUM(F78:G78)</f>
        <v/>
      </c>
      <c r="I78" s="75" t="n"/>
      <c r="J78" s="76">
        <f>SUM(H78*I78)</f>
        <v/>
      </c>
      <c r="K78" s="8" t="n"/>
      <c r="L78" s="77" t="n"/>
      <c r="M78" s="13" t="n"/>
      <c r="N78" s="27" t="n"/>
      <c r="O78" s="13" t="n"/>
      <c r="P78" s="13" t="n"/>
    </row>
    <row r="79" ht="15.6" customHeight="1">
      <c r="A79" s="11">
        <f>ROW()-ROW($A$2)</f>
        <v/>
      </c>
      <c r="B79" s="7" t="n"/>
      <c r="C79" s="12" t="n"/>
      <c r="D79" s="12" t="n"/>
      <c r="E79" s="68" t="n"/>
      <c r="F79" s="73" t="n"/>
      <c r="G79" s="73" t="n"/>
      <c r="H79" s="74">
        <f>SUM(F79:G79)</f>
        <v/>
      </c>
      <c r="I79" s="75" t="n"/>
      <c r="J79" s="76">
        <f>SUM(H79*I79)</f>
        <v/>
      </c>
      <c r="K79" s="8" t="n"/>
      <c r="L79" s="77" t="n"/>
      <c r="M79" s="13" t="n"/>
      <c r="N79" s="27" t="n"/>
      <c r="O79" s="13" t="n"/>
      <c r="P79" s="13" t="n"/>
    </row>
    <row r="80" ht="15.6" customHeight="1">
      <c r="A80" s="11">
        <f>ROW()-ROW($A$2)</f>
        <v/>
      </c>
      <c r="B80" s="7" t="n"/>
      <c r="C80" s="12" t="n"/>
      <c r="D80" s="12" t="n"/>
      <c r="E80" s="68" t="n"/>
      <c r="F80" s="73" t="n"/>
      <c r="G80" s="73" t="n"/>
      <c r="H80" s="74">
        <f>SUM(F80:G80)</f>
        <v/>
      </c>
      <c r="I80" s="75" t="n"/>
      <c r="J80" s="76">
        <f>SUM(H80*I80)</f>
        <v/>
      </c>
      <c r="K80" s="8" t="n"/>
      <c r="L80" s="77" t="n"/>
      <c r="M80" s="13" t="n"/>
      <c r="N80" s="27" t="n"/>
      <c r="O80" s="13" t="n"/>
      <c r="P80" s="13" t="n"/>
    </row>
    <row r="81" ht="15.6" customHeight="1">
      <c r="A81" s="11">
        <f>ROW()-ROW($A$2)</f>
        <v/>
      </c>
      <c r="B81" s="7" t="n"/>
      <c r="C81" s="12" t="n"/>
      <c r="D81" s="12" t="n"/>
      <c r="E81" s="68" t="n"/>
      <c r="F81" s="73" t="n"/>
      <c r="G81" s="73" t="n"/>
      <c r="H81" s="74">
        <f>SUM(F81:G81)</f>
        <v/>
      </c>
      <c r="I81" s="75" t="n"/>
      <c r="J81" s="76">
        <f>SUM(H81*I81)</f>
        <v/>
      </c>
      <c r="K81" s="8" t="n"/>
      <c r="L81" s="77" t="n"/>
      <c r="M81" s="13" t="n"/>
      <c r="N81" s="27" t="n"/>
      <c r="O81" s="13" t="n"/>
      <c r="P81" s="13" t="n"/>
    </row>
    <row r="82" ht="15.6" customHeight="1">
      <c r="A82" s="11">
        <f>ROW()-ROW($A$2)</f>
        <v/>
      </c>
      <c r="B82" s="7" t="n"/>
      <c r="C82" s="12" t="n"/>
      <c r="D82" s="12" t="n"/>
      <c r="E82" s="68" t="n"/>
      <c r="F82" s="73" t="n"/>
      <c r="G82" s="73" t="n"/>
      <c r="H82" s="74">
        <f>SUM(F82:G82)</f>
        <v/>
      </c>
      <c r="I82" s="75" t="n"/>
      <c r="J82" s="76">
        <f>SUM(H82*I82)</f>
        <v/>
      </c>
      <c r="K82" s="8" t="n"/>
      <c r="L82" s="77" t="n"/>
      <c r="M82" s="13" t="n"/>
      <c r="N82" s="27" t="n"/>
      <c r="O82" s="13" t="n"/>
      <c r="P82" s="13" t="n"/>
    </row>
    <row r="83" ht="15.6" customHeight="1">
      <c r="A83" s="11">
        <f>ROW()-ROW($A$2)</f>
        <v/>
      </c>
      <c r="B83" s="7" t="n"/>
      <c r="C83" s="12" t="n"/>
      <c r="D83" s="12" t="n"/>
      <c r="E83" s="68" t="n"/>
      <c r="F83" s="73" t="n"/>
      <c r="G83" s="73" t="n"/>
      <c r="H83" s="74">
        <f>SUM(F83:G83)</f>
        <v/>
      </c>
      <c r="I83" s="75" t="n"/>
      <c r="J83" s="76">
        <f>SUM(H83*I83)</f>
        <v/>
      </c>
      <c r="K83" s="8" t="n"/>
      <c r="L83" s="77" t="n"/>
      <c r="M83" s="13" t="n"/>
      <c r="N83" s="27" t="n"/>
      <c r="O83" s="13" t="n"/>
      <c r="P83" s="13" t="n"/>
    </row>
    <row r="84" ht="15.6" customHeight="1">
      <c r="A84" s="11">
        <f>ROW()-ROW($A$2)</f>
        <v/>
      </c>
      <c r="B84" s="7" t="n"/>
      <c r="C84" s="12" t="n"/>
      <c r="D84" s="12" t="n"/>
      <c r="E84" s="68" t="n"/>
      <c r="F84" s="73" t="n"/>
      <c r="G84" s="73" t="n"/>
      <c r="H84" s="74">
        <f>SUM(F84:G84)</f>
        <v/>
      </c>
      <c r="I84" s="75" t="n"/>
      <c r="J84" s="76">
        <f>SUM(H84*I84)</f>
        <v/>
      </c>
      <c r="K84" s="8" t="n"/>
      <c r="L84" s="77" t="n"/>
      <c r="M84" s="13" t="n"/>
      <c r="N84" s="27" t="n"/>
      <c r="O84" s="13" t="n"/>
      <c r="P84" s="13" t="n"/>
    </row>
    <row r="85" ht="15.6" customHeight="1">
      <c r="A85" s="11">
        <f>ROW()-ROW($A$2)</f>
        <v/>
      </c>
      <c r="B85" s="7" t="n"/>
      <c r="C85" s="12" t="n"/>
      <c r="D85" s="12" t="n"/>
      <c r="E85" s="68" t="n"/>
      <c r="F85" s="73" t="n"/>
      <c r="G85" s="73" t="n"/>
      <c r="H85" s="74">
        <f>SUM(F85:G85)</f>
        <v/>
      </c>
      <c r="I85" s="75" t="n"/>
      <c r="J85" s="76">
        <f>SUM(H85*I85)</f>
        <v/>
      </c>
      <c r="K85" s="8" t="n"/>
      <c r="L85" s="77" t="n"/>
      <c r="M85" s="13" t="n"/>
      <c r="N85" s="27" t="n"/>
      <c r="O85" s="13" t="n"/>
      <c r="P85" s="13" t="n"/>
    </row>
    <row r="86" ht="15.6" customHeight="1">
      <c r="A86" s="11">
        <f>ROW()-ROW($A$2)</f>
        <v/>
      </c>
      <c r="B86" s="7" t="n"/>
      <c r="C86" s="12" t="n"/>
      <c r="D86" s="12" t="n"/>
      <c r="E86" s="68" t="n"/>
      <c r="F86" s="73" t="n"/>
      <c r="G86" s="73" t="n"/>
      <c r="H86" s="74">
        <f>SUM(F86:G86)</f>
        <v/>
      </c>
      <c r="I86" s="75" t="n"/>
      <c r="J86" s="76">
        <f>SUM(H86*I86)</f>
        <v/>
      </c>
      <c r="K86" s="8" t="n"/>
      <c r="L86" s="77" t="n"/>
      <c r="M86" s="13" t="n"/>
      <c r="N86" s="27" t="n"/>
      <c r="O86" s="13" t="n"/>
      <c r="P86" s="13" t="n"/>
    </row>
    <row r="87" ht="15.6" customHeight="1">
      <c r="A87" s="11">
        <f>ROW()-ROW($A$2)</f>
        <v/>
      </c>
      <c r="B87" s="7" t="n"/>
      <c r="C87" s="12" t="n"/>
      <c r="D87" s="12" t="n"/>
      <c r="E87" s="68" t="n"/>
      <c r="F87" s="73" t="n"/>
      <c r="G87" s="73" t="n"/>
      <c r="H87" s="74">
        <f>SUM(F87:G87)</f>
        <v/>
      </c>
      <c r="I87" s="75" t="n"/>
      <c r="J87" s="76">
        <f>SUM(H87*I87)</f>
        <v/>
      </c>
      <c r="K87" s="8" t="n"/>
      <c r="L87" s="77" t="n"/>
      <c r="M87" s="13" t="n"/>
      <c r="N87" s="27" t="n"/>
      <c r="O87" s="13" t="n"/>
      <c r="P87" s="13" t="n"/>
    </row>
    <row r="88" ht="15.6" customHeight="1">
      <c r="A88" s="11">
        <f>ROW()-ROW($A$2)</f>
        <v/>
      </c>
      <c r="B88" s="7" t="n"/>
      <c r="C88" s="12" t="n"/>
      <c r="D88" s="12" t="n"/>
      <c r="E88" s="68" t="n"/>
      <c r="F88" s="73" t="n"/>
      <c r="G88" s="73" t="n"/>
      <c r="H88" s="74">
        <f>SUM(F88:G88)</f>
        <v/>
      </c>
      <c r="I88" s="75" t="n"/>
      <c r="J88" s="76">
        <f>SUM(H88*I88)</f>
        <v/>
      </c>
      <c r="K88" s="8" t="n"/>
      <c r="L88" s="77" t="n"/>
      <c r="M88" s="13" t="n"/>
      <c r="N88" s="27" t="n"/>
      <c r="O88" s="13" t="n"/>
      <c r="P88" s="13" t="n"/>
    </row>
    <row r="89" ht="15.6" customHeight="1">
      <c r="A89" s="11">
        <f>ROW()-ROW($A$2)</f>
        <v/>
      </c>
      <c r="B89" s="7" t="n"/>
      <c r="C89" s="12" t="n"/>
      <c r="D89" s="12" t="n"/>
      <c r="E89" s="68" t="n"/>
      <c r="F89" s="73" t="n"/>
      <c r="G89" s="73" t="n"/>
      <c r="H89" s="74">
        <f>SUM(F89:G89)</f>
        <v/>
      </c>
      <c r="I89" s="75" t="n"/>
      <c r="J89" s="76">
        <f>SUM(H89*I89)</f>
        <v/>
      </c>
      <c r="K89" s="8" t="n"/>
      <c r="L89" s="77" t="n"/>
      <c r="M89" s="13" t="n"/>
      <c r="N89" s="27" t="n"/>
      <c r="O89" s="13" t="n"/>
      <c r="P89" s="13" t="n"/>
    </row>
    <row r="90" ht="15.6" customHeight="1">
      <c r="A90" s="11">
        <f>ROW()-ROW($A$2)</f>
        <v/>
      </c>
      <c r="B90" s="7" t="n"/>
      <c r="C90" s="12" t="n"/>
      <c r="D90" s="12" t="n"/>
      <c r="E90" s="68" t="n"/>
      <c r="F90" s="73" t="n"/>
      <c r="G90" s="73" t="n"/>
      <c r="H90" s="74">
        <f>SUM(F90:G90)</f>
        <v/>
      </c>
      <c r="I90" s="75" t="n"/>
      <c r="J90" s="76">
        <f>SUM(H90*I90)</f>
        <v/>
      </c>
      <c r="K90" s="8" t="n"/>
      <c r="L90" s="77" t="n"/>
      <c r="M90" s="13" t="n"/>
      <c r="N90" s="27" t="n"/>
      <c r="O90" s="13" t="n"/>
      <c r="P90" s="13" t="n"/>
    </row>
    <row r="91" ht="15.6" customHeight="1">
      <c r="A91" s="11">
        <f>ROW()-ROW($A$2)</f>
        <v/>
      </c>
      <c r="B91" s="7" t="n"/>
      <c r="C91" s="12" t="n"/>
      <c r="D91" s="12" t="n"/>
      <c r="E91" s="68" t="n"/>
      <c r="F91" s="73" t="n"/>
      <c r="G91" s="73" t="n"/>
      <c r="H91" s="74">
        <f>SUM(F91:G91)</f>
        <v/>
      </c>
      <c r="I91" s="75" t="n"/>
      <c r="J91" s="76">
        <f>SUM(H91*I91)</f>
        <v/>
      </c>
      <c r="K91" s="8" t="n"/>
      <c r="L91" s="77" t="n"/>
      <c r="M91" s="13" t="n"/>
      <c r="N91" s="27" t="n"/>
      <c r="O91" s="13" t="n"/>
      <c r="P91" s="13" t="n"/>
    </row>
    <row r="92" ht="15.6" customHeight="1">
      <c r="A92" s="11">
        <f>ROW()-ROW($A$2)</f>
        <v/>
      </c>
      <c r="B92" s="7" t="n"/>
      <c r="C92" s="12" t="n"/>
      <c r="D92" s="12" t="n"/>
      <c r="E92" s="68" t="n"/>
      <c r="F92" s="73" t="n"/>
      <c r="G92" s="73" t="n"/>
      <c r="H92" s="74">
        <f>SUM(F92:G92)</f>
        <v/>
      </c>
      <c r="I92" s="75" t="n"/>
      <c r="J92" s="76">
        <f>SUM(H92*I92)</f>
        <v/>
      </c>
      <c r="K92" s="8" t="n"/>
      <c r="L92" s="77" t="n"/>
      <c r="M92" s="13" t="n"/>
      <c r="N92" s="27" t="n"/>
      <c r="O92" s="13" t="n"/>
      <c r="P92" s="13" t="n"/>
    </row>
    <row r="93" ht="15.6" customHeight="1">
      <c r="A93" s="11">
        <f>ROW()-ROW($A$2)</f>
        <v/>
      </c>
      <c r="B93" s="7" t="n"/>
      <c r="C93" s="12" t="n"/>
      <c r="D93" s="12" t="n"/>
      <c r="E93" s="68" t="n"/>
      <c r="F93" s="73" t="n"/>
      <c r="G93" s="73" t="n"/>
      <c r="H93" s="74">
        <f>SUM(F93:G93)</f>
        <v/>
      </c>
      <c r="I93" s="75" t="n"/>
      <c r="J93" s="76">
        <f>SUM(H93*I93)</f>
        <v/>
      </c>
      <c r="K93" s="8" t="n"/>
      <c r="L93" s="77" t="n"/>
      <c r="M93" s="13" t="n"/>
      <c r="N93" s="27" t="n"/>
      <c r="O93" s="13" t="n"/>
      <c r="P93" s="13" t="n"/>
    </row>
    <row r="94" ht="15.6" customHeight="1">
      <c r="A94" s="11">
        <f>ROW()-ROW($A$2)</f>
        <v/>
      </c>
      <c r="B94" s="7" t="n"/>
      <c r="C94" s="12" t="n"/>
      <c r="D94" s="12" t="n"/>
      <c r="E94" s="68" t="n"/>
      <c r="F94" s="73" t="n"/>
      <c r="G94" s="73" t="n"/>
      <c r="H94" s="74">
        <f>SUM(F94:G94)</f>
        <v/>
      </c>
      <c r="I94" s="75" t="n"/>
      <c r="J94" s="76">
        <f>SUM(H94*I94)</f>
        <v/>
      </c>
      <c r="K94" s="8" t="n"/>
      <c r="L94" s="77" t="n"/>
      <c r="M94" s="13" t="n"/>
      <c r="N94" s="27" t="n"/>
      <c r="O94" s="13" t="n"/>
      <c r="P94" s="13" t="n"/>
    </row>
    <row r="95" ht="15.6" customHeight="1">
      <c r="A95" s="11">
        <f>ROW()-ROW($A$2)</f>
        <v/>
      </c>
      <c r="B95" s="7" t="n"/>
      <c r="C95" s="12" t="n"/>
      <c r="D95" s="12" t="n"/>
      <c r="E95" s="68" t="n"/>
      <c r="F95" s="73" t="n"/>
      <c r="G95" s="73" t="n"/>
      <c r="H95" s="74">
        <f>SUM(F95:G95)</f>
        <v/>
      </c>
      <c r="I95" s="75" t="n"/>
      <c r="J95" s="76">
        <f>SUM(H95*I95)</f>
        <v/>
      </c>
      <c r="K95" s="8" t="n"/>
      <c r="L95" s="77" t="n"/>
      <c r="M95" s="13" t="n"/>
      <c r="N95" s="27" t="n"/>
      <c r="O95" s="13" t="n"/>
      <c r="P95" s="13" t="n"/>
    </row>
    <row r="96" ht="15.6" customHeight="1">
      <c r="A96" s="11">
        <f>ROW()-ROW($A$2)</f>
        <v/>
      </c>
      <c r="B96" s="7" t="n"/>
      <c r="C96" s="12" t="n"/>
      <c r="D96" s="12" t="n"/>
      <c r="E96" s="68" t="n"/>
      <c r="F96" s="73" t="n"/>
      <c r="G96" s="73" t="n"/>
      <c r="H96" s="74">
        <f>SUM(F96:G96)</f>
        <v/>
      </c>
      <c r="I96" s="75" t="n"/>
      <c r="J96" s="76">
        <f>SUM(H96*I96)</f>
        <v/>
      </c>
      <c r="K96" s="8" t="n"/>
      <c r="L96" s="77" t="n"/>
      <c r="M96" s="13" t="n"/>
      <c r="N96" s="27" t="n"/>
      <c r="O96" s="13" t="n"/>
      <c r="P96" s="13" t="n"/>
    </row>
    <row r="97" ht="15.6" customHeight="1">
      <c r="A97" s="11">
        <f>ROW()-ROW($A$2)</f>
        <v/>
      </c>
      <c r="B97" s="12" t="n"/>
      <c r="C97" s="12" t="n"/>
      <c r="D97" s="12" t="n"/>
      <c r="E97" s="68" t="n"/>
      <c r="F97" s="73" t="n"/>
      <c r="G97" s="73" t="n"/>
      <c r="H97" s="74">
        <f>SUM(F97:G97)</f>
        <v/>
      </c>
      <c r="I97" s="75" t="n"/>
      <c r="J97" s="76">
        <f>SUM(H97*I97)</f>
        <v/>
      </c>
      <c r="K97" s="8" t="n"/>
      <c r="L97" s="77" t="n"/>
      <c r="M97" s="13" t="n"/>
      <c r="N97" s="27" t="n"/>
      <c r="O97" s="13" t="n"/>
      <c r="P97" s="13" t="n"/>
    </row>
    <row r="98" ht="15.6" customHeight="1">
      <c r="A98" s="11">
        <f>ROW()-ROW($A$2)</f>
        <v/>
      </c>
      <c r="B98" s="12" t="n"/>
      <c r="C98" s="12" t="n"/>
      <c r="D98" s="12" t="n"/>
      <c r="E98" s="68" t="n"/>
      <c r="F98" s="73" t="n"/>
      <c r="G98" s="73" t="n"/>
      <c r="H98" s="74">
        <f>SUM(F98:G98)</f>
        <v/>
      </c>
      <c r="I98" s="75" t="n"/>
      <c r="J98" s="76">
        <f>SUM(H98*I98)</f>
        <v/>
      </c>
      <c r="K98" s="8" t="n"/>
      <c r="L98" s="77" t="n"/>
      <c r="M98" s="13" t="n"/>
      <c r="N98" s="27" t="n"/>
      <c r="O98" s="13" t="n"/>
      <c r="P98" s="13" t="n"/>
    </row>
    <row r="99" ht="15.6" customHeight="1">
      <c r="A99" s="11">
        <f>ROW()-ROW($A$2)</f>
        <v/>
      </c>
      <c r="B99" s="12" t="n"/>
      <c r="C99" s="12" t="n"/>
      <c r="D99" s="12" t="n"/>
      <c r="E99" s="68" t="n"/>
      <c r="F99" s="73" t="n"/>
      <c r="G99" s="73" t="n"/>
      <c r="H99" s="74">
        <f>SUM(F99:G99)</f>
        <v/>
      </c>
      <c r="I99" s="75" t="n"/>
      <c r="J99" s="76">
        <f>SUM(H99*I99)</f>
        <v/>
      </c>
      <c r="K99" s="8" t="n"/>
      <c r="L99" s="77" t="n"/>
      <c r="M99" s="13" t="n"/>
      <c r="N99" s="27" t="n"/>
      <c r="O99" s="13" t="n"/>
      <c r="P99" s="13" t="n"/>
    </row>
    <row r="100" ht="15.6" customHeight="1">
      <c r="A100" s="11">
        <f>ROW()-ROW($A$2)</f>
        <v/>
      </c>
      <c r="B100" s="12" t="n"/>
      <c r="C100" s="12" t="n"/>
      <c r="D100" s="12" t="n"/>
      <c r="E100" s="68" t="n"/>
      <c r="F100" s="73" t="n"/>
      <c r="G100" s="73" t="n"/>
      <c r="H100" s="74">
        <f>SUM(F100:G100)</f>
        <v/>
      </c>
      <c r="I100" s="75" t="n"/>
      <c r="J100" s="76">
        <f>SUM(H100*I100)</f>
        <v/>
      </c>
      <c r="K100" s="8" t="n"/>
      <c r="L100" s="77" t="n"/>
      <c r="M100" s="13" t="n"/>
      <c r="N100" s="27" t="n"/>
      <c r="O100" s="13" t="n"/>
      <c r="P100" s="13" t="n"/>
    </row>
    <row r="101" ht="15.6" customHeight="1">
      <c r="A101" s="10" t="n"/>
      <c r="B101" s="7" t="n"/>
      <c r="C101" s="12" t="n"/>
      <c r="D101" s="12" t="n"/>
      <c r="E101" s="68" t="n"/>
      <c r="F101" s="73" t="n"/>
      <c r="G101" s="73" t="n"/>
      <c r="H101" s="74">
        <f>SUM(F101:G101)</f>
        <v/>
      </c>
      <c r="I101" s="75" t="n"/>
      <c r="J101" s="76">
        <f>SUM(H101*I101)</f>
        <v/>
      </c>
      <c r="K101" s="5" t="n"/>
      <c r="L101" s="77" t="n"/>
      <c r="M101" s="13" t="n"/>
      <c r="N101" s="27" t="n"/>
      <c r="O101" s="13" t="n"/>
      <c r="P101" s="13" t="n"/>
    </row>
    <row r="102">
      <c r="A102" s="10" t="n"/>
      <c r="B102" s="7" t="n"/>
      <c r="C102" s="7" t="n"/>
      <c r="D102" s="7" t="n"/>
      <c r="E102" s="68" t="n"/>
      <c r="F102" s="73" t="n"/>
      <c r="G102" s="73" t="n"/>
      <c r="H102" s="73" t="n"/>
      <c r="I102" s="91" t="n"/>
      <c r="J102" s="76" t="n"/>
      <c r="K102" s="5" t="n"/>
      <c r="L102" s="77" t="n"/>
      <c r="M102" s="13" t="n"/>
      <c r="N102" s="27" t="n"/>
      <c r="O102" s="13" t="n"/>
      <c r="P102" s="13" t="n"/>
    </row>
    <row r="103">
      <c r="A103" s="10" t="n"/>
      <c r="B103" s="7" t="n"/>
      <c r="C103" s="7" t="n"/>
      <c r="D103" s="7" t="n"/>
      <c r="E103" s="68" t="n"/>
      <c r="F103" s="73" t="n"/>
      <c r="G103" s="73" t="n"/>
      <c r="H103" s="73" t="n"/>
      <c r="I103" s="91" t="n"/>
      <c r="J103" s="76" t="n"/>
      <c r="K103" s="5" t="n"/>
      <c r="L103" s="77" t="n"/>
      <c r="M103" s="13" t="n"/>
      <c r="N103" s="27" t="n"/>
      <c r="O103" s="13" t="n"/>
      <c r="P103" s="13" t="n"/>
    </row>
    <row r="104" ht="16.2" customHeight="1" thickBot="1">
      <c r="A104" s="37">
        <f>COUNT(A3:A100)</f>
        <v/>
      </c>
      <c r="B104" s="36" t="inlineStr">
        <is>
          <t>Total</t>
        </is>
      </c>
      <c r="C104" s="7" t="n"/>
      <c r="D104" s="7" t="n"/>
      <c r="E104" s="68" t="n"/>
      <c r="F104" s="92">
        <f>SUM(F3:F100)</f>
        <v/>
      </c>
      <c r="G104" s="73" t="n"/>
      <c r="H104" s="92">
        <f>SUM(H3:H100)</f>
        <v/>
      </c>
      <c r="I104" s="91" t="n"/>
      <c r="J104" s="93">
        <f>SUM(J3:J100)</f>
        <v/>
      </c>
      <c r="K104" s="5" t="n"/>
      <c r="L104" s="77" t="n"/>
      <c r="M104" s="13" t="n"/>
      <c r="N104" s="27" t="n"/>
      <c r="O104" s="13" t="n"/>
      <c r="P104" s="13" t="n"/>
    </row>
    <row r="105" ht="16.2" customHeight="1" thickTop="1">
      <c r="I105" s="33" t="inlineStr">
        <is>
          <t>Advance</t>
        </is>
      </c>
      <c r="J105" s="94" t="n">
        <v>1</v>
      </c>
    </row>
    <row r="106" ht="15.6" customHeight="1">
      <c r="I106" s="33" t="inlineStr">
        <is>
          <t>Sweets</t>
        </is>
      </c>
      <c r="J106" s="94" t="n">
        <v>1</v>
      </c>
    </row>
    <row r="107" ht="15.6" customHeight="1">
      <c r="I107" s="33" t="inlineStr">
        <is>
          <t>Balance</t>
        </is>
      </c>
      <c r="J107" s="95">
        <f>SUM(J104-J105-J106)</f>
        <v/>
      </c>
    </row>
  </sheetData>
  <autoFilter ref="A2:P104"/>
  <conditionalFormatting sqref="F104">
    <cfRule type="cellIs" priority="4" operator="lessThan" dxfId="1" stopIfTrue="1">
      <formula>1</formula>
    </cfRule>
  </conditionalFormatting>
  <conditionalFormatting sqref="H104">
    <cfRule type="cellIs" priority="2" operator="lessThan" dxfId="1" stopIfTrue="1">
      <formula>1</formula>
    </cfRule>
  </conditionalFormatting>
  <conditionalFormatting sqref="J104">
    <cfRule type="cellIs" priority="3" operator="lessThan" dxfId="1" stopIfTrue="1">
      <formula>1</formula>
    </cfRule>
  </conditionalFormatting>
  <conditionalFormatting sqref="J105:J107">
    <cfRule type="cellIs" priority="1" operator="lessThan" dxfId="0" stopIfTrue="1">
      <formula>0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M22" sqref="M22"/>
    </sheetView>
  </sheetViews>
  <sheetFormatPr baseColWidth="8" defaultRowHeight="14.4"/>
  <cols>
    <col width="38.109375" customWidth="1" min="2" max="2"/>
    <col width="13.109375" customWidth="1" min="3" max="3"/>
    <col width="15.33203125" customWidth="1" min="4" max="4"/>
  </cols>
  <sheetData>
    <row r="1" ht="23.4" customHeight="1">
      <c r="A1" s="22" t="n"/>
      <c r="B1" s="23" t="inlineStr">
        <is>
          <t>Bharatbhai Ferawala</t>
        </is>
      </c>
      <c r="C1" s="23" t="inlineStr">
        <is>
          <t>Extra Staff Diwali-26</t>
        </is>
      </c>
      <c r="D1" s="23" t="n"/>
      <c r="E1" s="24" t="n"/>
      <c r="F1" s="22" t="n"/>
      <c r="G1" s="22" t="n"/>
      <c r="H1" s="22" t="n"/>
      <c r="I1" s="22" t="n"/>
      <c r="J1" s="67" t="n"/>
      <c r="K1" s="22" t="n"/>
      <c r="L1" s="22" t="n"/>
      <c r="M1" s="25" t="n"/>
      <c r="N1" s="25" t="n"/>
      <c r="O1" s="38" t="n"/>
      <c r="P1" s="38" t="n"/>
    </row>
    <row r="2" ht="32.4" customHeight="1">
      <c r="A2" s="14" t="inlineStr">
        <is>
          <t>No.</t>
        </is>
      </c>
      <c r="B2" s="15" t="inlineStr">
        <is>
          <t>Staff Name</t>
        </is>
      </c>
      <c r="C2" s="63" t="inlineStr">
        <is>
          <t>Designation</t>
        </is>
      </c>
      <c r="D2" s="63" t="inlineStr">
        <is>
          <t>Loctation</t>
        </is>
      </c>
      <c r="E2" s="68" t="inlineStr">
        <is>
          <t>Staff</t>
        </is>
      </c>
      <c r="F2" s="69" t="inlineStr">
        <is>
          <t>Sept Present</t>
        </is>
      </c>
      <c r="G2" s="69" t="inlineStr">
        <is>
          <t>Octo Present</t>
        </is>
      </c>
      <c r="H2" s="69" t="inlineStr">
        <is>
          <t>Total Present</t>
        </is>
      </c>
      <c r="I2" s="17" t="inlineStr">
        <is>
          <t>Per Day Pay</t>
        </is>
      </c>
      <c r="J2" s="70" t="inlineStr">
        <is>
          <t>Net Pay</t>
        </is>
      </c>
      <c r="K2" s="18" t="inlineStr">
        <is>
          <t>2026 Per Day</t>
        </is>
      </c>
      <c r="L2" s="71" t="inlineStr">
        <is>
          <t>Sweet Kg.</t>
        </is>
      </c>
      <c r="M2" s="71" t="inlineStr">
        <is>
          <t>Aadhar</t>
        </is>
      </c>
      <c r="N2" s="72" t="inlineStr">
        <is>
          <t>Mobile</t>
        </is>
      </c>
      <c r="O2" s="71" t="inlineStr">
        <is>
          <t>From Date</t>
        </is>
      </c>
      <c r="P2" s="71" t="inlineStr">
        <is>
          <t>To Date</t>
        </is>
      </c>
      <c r="Q2" t="inlineStr">
        <is>
          <t>App ID</t>
        </is>
      </c>
      <c r="R2" t="inlineStr">
        <is>
          <t>Employment Status</t>
        </is>
      </c>
      <c r="S2" t="inlineStr">
        <is>
          <t>Departure Date</t>
        </is>
      </c>
      <c r="T2" t="inlineStr">
        <is>
          <t>Departure Reason</t>
        </is>
      </c>
      <c r="U2" t="inlineStr">
        <is>
          <t>Status Verified</t>
        </is>
      </c>
    </row>
    <row r="3" ht="15.6" customHeight="1">
      <c r="A3" s="11">
        <f>ROW()-ROW($A$2)</f>
        <v/>
      </c>
      <c r="B3" s="12" t="inlineStr">
        <is>
          <t>Ramesh Nathulal Yadav</t>
        </is>
      </c>
      <c r="C3" s="12" t="inlineStr">
        <is>
          <t>Ferawala</t>
        </is>
      </c>
      <c r="D3" s="12" t="inlineStr">
        <is>
          <t>Sardar Hall</t>
        </is>
      </c>
      <c r="E3" s="68" t="n">
        <v>1</v>
      </c>
      <c r="F3" s="73" t="n">
        <v>4</v>
      </c>
      <c r="G3" s="73" t="n">
        <v>16</v>
      </c>
      <c r="H3" s="74">
        <f>SUM(F3:G3)</f>
        <v/>
      </c>
      <c r="I3" s="75" t="n">
        <v>100</v>
      </c>
      <c r="J3" s="76">
        <f>SUM(H3*I3)</f>
        <v/>
      </c>
      <c r="K3" s="21" t="n"/>
      <c r="L3" s="77" t="n"/>
      <c r="M3" s="13" t="n"/>
      <c r="N3" s="27" t="n"/>
      <c r="O3" s="13" t="n"/>
      <c r="P3" s="13" t="n"/>
      <c r="Q3" t="inlineStr">
        <is>
          <t>EMP-5CED07B3</t>
        </is>
      </c>
      <c r="R3" t="inlineStr">
        <is>
          <t>Active</t>
        </is>
      </c>
    </row>
    <row r="4" ht="15.6" customHeight="1">
      <c r="A4" s="11">
        <f>ROW()-ROW($A$2)</f>
        <v/>
      </c>
      <c r="B4" s="12" t="inlineStr">
        <is>
          <t>Jitendra Bharatlal Yadav</t>
        </is>
      </c>
      <c r="C4" s="12" t="inlineStr">
        <is>
          <t>Ferawala</t>
        </is>
      </c>
      <c r="D4" s="12" t="inlineStr">
        <is>
          <t>Aashram Road</t>
        </is>
      </c>
      <c r="E4" s="68" t="n">
        <v>1</v>
      </c>
      <c r="F4" s="73" t="n">
        <v>4</v>
      </c>
      <c r="G4" s="73" t="n">
        <v>16</v>
      </c>
      <c r="H4" s="74">
        <f>SUM(F4:G4)</f>
        <v/>
      </c>
      <c r="I4" s="75" t="n"/>
      <c r="J4" s="76">
        <f>SUM(H4*I4)</f>
        <v/>
      </c>
      <c r="K4" s="5" t="n"/>
      <c r="L4" s="78" t="n"/>
      <c r="M4" s="13" t="n"/>
      <c r="N4" s="27" t="n"/>
      <c r="O4" s="13" t="n"/>
      <c r="P4" s="13" t="n"/>
      <c r="Q4" t="inlineStr">
        <is>
          <t>EMP-0FBBF307</t>
        </is>
      </c>
      <c r="R4" t="inlineStr">
        <is>
          <t>Active</t>
        </is>
      </c>
    </row>
    <row r="5" ht="15.6" customHeight="1">
      <c r="A5" s="11">
        <f>ROW()-ROW($A$2)</f>
        <v/>
      </c>
      <c r="B5" s="7" t="inlineStr">
        <is>
          <t>Pravin Fojilal Yadav</t>
        </is>
      </c>
      <c r="C5" s="12" t="inlineStr">
        <is>
          <t>Ferawala</t>
        </is>
      </c>
      <c r="D5" s="12" t="inlineStr">
        <is>
          <t>Aashram Road</t>
        </is>
      </c>
      <c r="E5" s="68" t="n">
        <v>1</v>
      </c>
      <c r="F5" s="73" t="n">
        <v>4</v>
      </c>
      <c r="G5" s="73" t="n">
        <v>16</v>
      </c>
      <c r="H5" s="74">
        <f>SUM(F5:G5)</f>
        <v/>
      </c>
      <c r="I5" s="75" t="n"/>
      <c r="J5" s="76">
        <f>SUM(H5*I5)</f>
        <v/>
      </c>
      <c r="K5" s="8" t="n"/>
      <c r="L5" s="77" t="n"/>
      <c r="M5" s="13" t="n"/>
      <c r="N5" s="27" t="n"/>
      <c r="O5" s="13" t="n"/>
      <c r="P5" s="13" t="n"/>
      <c r="Q5" t="inlineStr">
        <is>
          <t>EMP-1F8732AB</t>
        </is>
      </c>
      <c r="R5" t="inlineStr">
        <is>
          <t>Active</t>
        </is>
      </c>
    </row>
    <row r="6" ht="15.6" customHeight="1">
      <c r="A6" s="11">
        <f>ROW()-ROW($A$2)</f>
        <v/>
      </c>
      <c r="B6" s="7" t="inlineStr">
        <is>
          <t>Krunal Rameshlal Yadav</t>
        </is>
      </c>
      <c r="C6" s="12" t="inlineStr">
        <is>
          <t>Ferawala</t>
        </is>
      </c>
      <c r="D6" s="12" t="inlineStr">
        <is>
          <t>Aashram Road</t>
        </is>
      </c>
      <c r="E6" s="68" t="n">
        <v>1</v>
      </c>
      <c r="F6" s="73" t="n">
        <v>4</v>
      </c>
      <c r="G6" s="73" t="n">
        <v>15</v>
      </c>
      <c r="H6" s="74">
        <f>SUM(F6:G6)</f>
        <v/>
      </c>
      <c r="I6" s="75" t="n"/>
      <c r="J6" s="76">
        <f>SUM(H6*I6)</f>
        <v/>
      </c>
      <c r="K6" s="8" t="n"/>
      <c r="L6" s="77" t="n"/>
      <c r="M6" s="13" t="n"/>
      <c r="N6" s="27" t="n"/>
      <c r="O6" s="13" t="n"/>
      <c r="P6" s="13" t="n"/>
      <c r="Q6" t="inlineStr">
        <is>
          <t>EMP-D56AF7DC</t>
        </is>
      </c>
      <c r="R6" t="inlineStr">
        <is>
          <t>Active</t>
        </is>
      </c>
    </row>
    <row r="7" ht="15.6" customHeight="1">
      <c r="A7" s="11">
        <f>ROW()-ROW($A$2)</f>
        <v/>
      </c>
      <c r="B7" s="7" t="inlineStr">
        <is>
          <t>Kanu Devilal Yadav</t>
        </is>
      </c>
      <c r="C7" s="12" t="inlineStr">
        <is>
          <t>Ferawala</t>
        </is>
      </c>
      <c r="D7" s="12" t="inlineStr">
        <is>
          <t>Sardar Hall</t>
        </is>
      </c>
      <c r="E7" s="68" t="n">
        <v>1</v>
      </c>
      <c r="F7" s="73" t="n">
        <v>4</v>
      </c>
      <c r="G7" s="73" t="n">
        <v>16</v>
      </c>
      <c r="H7" s="74">
        <f>SUM(F7:G7)</f>
        <v/>
      </c>
      <c r="I7" s="75" t="n"/>
      <c r="J7" s="76">
        <f>SUM(H7*I7)</f>
        <v/>
      </c>
      <c r="K7" s="8" t="n"/>
      <c r="L7" s="77" t="n"/>
      <c r="M7" s="13" t="n"/>
      <c r="N7" s="27" t="n"/>
      <c r="O7" s="13" t="n"/>
      <c r="P7" s="13" t="n"/>
      <c r="Q7" t="inlineStr">
        <is>
          <t>EMP-8C858B0C</t>
        </is>
      </c>
      <c r="R7" t="inlineStr">
        <is>
          <t>Active</t>
        </is>
      </c>
    </row>
    <row r="8" ht="15.6" customHeight="1">
      <c r="A8" s="11">
        <f>ROW()-ROW($A$2)</f>
        <v/>
      </c>
      <c r="B8" s="7" t="inlineStr">
        <is>
          <t>Dipak Dinesh Yadav</t>
        </is>
      </c>
      <c r="C8" s="12" t="inlineStr">
        <is>
          <t>Ferawala</t>
        </is>
      </c>
      <c r="D8" s="12" t="inlineStr">
        <is>
          <t>Sardar Hall</t>
        </is>
      </c>
      <c r="E8" s="68" t="n">
        <v>1</v>
      </c>
      <c r="F8" s="73" t="n">
        <v>4</v>
      </c>
      <c r="G8" s="73" t="n">
        <v>14</v>
      </c>
      <c r="H8" s="74">
        <f>SUM(F8:G8)</f>
        <v/>
      </c>
      <c r="I8" s="75" t="n"/>
      <c r="J8" s="76">
        <f>SUM(H8*I8)</f>
        <v/>
      </c>
      <c r="K8" s="8" t="n"/>
      <c r="L8" s="77" t="n"/>
      <c r="M8" s="13" t="n"/>
      <c r="N8" s="27" t="n"/>
      <c r="O8" s="13" t="n"/>
      <c r="P8" s="13" t="n"/>
      <c r="Q8" t="inlineStr">
        <is>
          <t>EMP-E7B8257D</t>
        </is>
      </c>
      <c r="R8" t="inlineStr">
        <is>
          <t>Active</t>
        </is>
      </c>
    </row>
    <row r="9" ht="15.6" customHeight="1">
      <c r="A9" s="11">
        <f>ROW()-ROW($A$2)</f>
        <v/>
      </c>
      <c r="B9" s="7" t="inlineStr">
        <is>
          <t>Sanjay Vajyabhai Yadav</t>
        </is>
      </c>
      <c r="C9" s="12" t="inlineStr">
        <is>
          <t>Ferawala</t>
        </is>
      </c>
      <c r="D9" s="12" t="inlineStr">
        <is>
          <t>Aashram Road</t>
        </is>
      </c>
      <c r="E9" s="68" t="n">
        <v>1</v>
      </c>
      <c r="F9" s="73" t="n">
        <v>0</v>
      </c>
      <c r="G9" s="73" t="n">
        <v>13</v>
      </c>
      <c r="H9" s="74">
        <f>SUM(F9:G9)</f>
        <v/>
      </c>
      <c r="I9" s="75" t="n"/>
      <c r="J9" s="76">
        <f>SUM(H9*I9)</f>
        <v/>
      </c>
      <c r="K9" s="8" t="n"/>
      <c r="L9" s="77" t="n"/>
      <c r="M9" s="13" t="n"/>
      <c r="N9" s="27" t="n"/>
      <c r="O9" s="13" t="n"/>
      <c r="P9" s="13" t="n"/>
      <c r="Q9" t="inlineStr">
        <is>
          <t>EMP-BF919EA4</t>
        </is>
      </c>
      <c r="R9" t="inlineStr">
        <is>
          <t>Active</t>
        </is>
      </c>
    </row>
    <row r="10" ht="15.6" customHeight="1">
      <c r="A10" s="11">
        <f>ROW()-ROW($A$2)</f>
        <v/>
      </c>
      <c r="B10" s="7" t="inlineStr">
        <is>
          <t>Mahendrabhai Ramanbhai Yadav</t>
        </is>
      </c>
      <c r="C10" s="12" t="inlineStr">
        <is>
          <t>Ferawala</t>
        </is>
      </c>
      <c r="D10" s="12" t="inlineStr">
        <is>
          <t>Aashram Road</t>
        </is>
      </c>
      <c r="E10" s="68" t="n">
        <v>1</v>
      </c>
      <c r="F10" s="73" t="n">
        <v>0</v>
      </c>
      <c r="G10" s="73" t="n">
        <v>10</v>
      </c>
      <c r="H10" s="74">
        <f>SUM(F10:G10)</f>
        <v/>
      </c>
      <c r="I10" s="75" t="n"/>
      <c r="J10" s="76">
        <f>SUM(H10*I10)</f>
        <v/>
      </c>
      <c r="K10" s="8" t="n"/>
      <c r="L10" s="77" t="n"/>
      <c r="M10" s="13" t="n"/>
      <c r="N10" s="27" t="n"/>
      <c r="O10" s="13" t="n"/>
      <c r="P10" s="13" t="n"/>
      <c r="Q10" t="inlineStr">
        <is>
          <t>EMP-5E0AE618</t>
        </is>
      </c>
      <c r="R10" t="inlineStr">
        <is>
          <t>Active</t>
        </is>
      </c>
    </row>
    <row r="11" ht="15.6" customHeight="1">
      <c r="A11" s="11">
        <f>ROW()-ROW($A$2)</f>
        <v/>
      </c>
      <c r="B11" s="7" t="inlineStr">
        <is>
          <t>Rudraksh Dhaneshwar Sadhu</t>
        </is>
      </c>
      <c r="C11" s="12" t="inlineStr">
        <is>
          <t>Ferawala</t>
        </is>
      </c>
      <c r="D11" s="12" t="inlineStr">
        <is>
          <t>Aashram Road</t>
        </is>
      </c>
      <c r="E11" s="68" t="n">
        <v>1</v>
      </c>
      <c r="F11" s="73" t="n">
        <v>0</v>
      </c>
      <c r="G11" s="73" t="n">
        <v>9</v>
      </c>
      <c r="H11" s="74">
        <f>SUM(F11:G11)</f>
        <v/>
      </c>
      <c r="I11" s="75" t="n"/>
      <c r="J11" s="76">
        <f>SUM(H11*I11)</f>
        <v/>
      </c>
      <c r="K11" s="8" t="n"/>
      <c r="L11" s="77" t="n"/>
      <c r="M11" s="13" t="n"/>
      <c r="N11" s="27" t="n"/>
      <c r="O11" s="13" t="n"/>
      <c r="P11" s="13" t="n"/>
      <c r="Q11" t="inlineStr">
        <is>
          <t>EMP-06C16ADA</t>
        </is>
      </c>
      <c r="R11" t="inlineStr">
        <is>
          <t>Active</t>
        </is>
      </c>
    </row>
    <row r="12" ht="15.6" customHeight="1">
      <c r="A12" s="11">
        <f>ROW()-ROW($A$2)</f>
        <v/>
      </c>
      <c r="B12" s="7" t="inlineStr">
        <is>
          <t>Bhagwati Yadav</t>
        </is>
      </c>
      <c r="C12" s="12" t="inlineStr">
        <is>
          <t>Ferawala</t>
        </is>
      </c>
      <c r="D12" s="12" t="inlineStr">
        <is>
          <t>Stadium</t>
        </is>
      </c>
      <c r="E12" s="68" t="n">
        <v>1</v>
      </c>
      <c r="F12" s="73" t="n">
        <v>0</v>
      </c>
      <c r="G12" s="73" t="n">
        <v>8</v>
      </c>
      <c r="H12" s="74">
        <f>SUM(F12:G12)</f>
        <v/>
      </c>
      <c r="I12" s="75" t="n"/>
      <c r="J12" s="76">
        <f>SUM(H12*I12)</f>
        <v/>
      </c>
      <c r="K12" s="8" t="n"/>
      <c r="L12" s="77" t="n"/>
      <c r="M12" s="13" t="n"/>
      <c r="N12" s="27" t="n"/>
      <c r="O12" s="13" t="n"/>
      <c r="P12" s="13" t="n"/>
      <c r="Q12" t="inlineStr">
        <is>
          <t>EMP-D891F357</t>
        </is>
      </c>
      <c r="R12" t="inlineStr">
        <is>
          <t>Active</t>
        </is>
      </c>
    </row>
    <row r="13" ht="15.6" customHeight="1">
      <c r="A13" s="11">
        <f>ROW()-ROW($A$2)</f>
        <v/>
      </c>
      <c r="B13" s="7" t="inlineStr">
        <is>
          <t>Jivram Nanoma</t>
        </is>
      </c>
      <c r="C13" s="12" t="inlineStr">
        <is>
          <t>Ferawala</t>
        </is>
      </c>
      <c r="D13" s="12" t="inlineStr">
        <is>
          <t>Stadium</t>
        </is>
      </c>
      <c r="E13" s="68" t="n">
        <v>1</v>
      </c>
      <c r="F13" s="73" t="n">
        <v>0</v>
      </c>
      <c r="G13" s="73" t="n">
        <v>8</v>
      </c>
      <c r="H13" s="74">
        <f>SUM(F13:G13)</f>
        <v/>
      </c>
      <c r="I13" s="75" t="n"/>
      <c r="J13" s="76">
        <f>SUM(H13*I13)</f>
        <v/>
      </c>
      <c r="K13" s="8" t="n"/>
      <c r="L13" s="77" t="n"/>
      <c r="M13" s="13" t="n"/>
      <c r="N13" s="27" t="n"/>
      <c r="O13" s="13" t="n"/>
      <c r="P13" s="13" t="n"/>
      <c r="Q13" t="inlineStr">
        <is>
          <t>EMP-6EB417D3</t>
        </is>
      </c>
      <c r="R13" t="inlineStr">
        <is>
          <t>Active</t>
        </is>
      </c>
    </row>
    <row r="14" ht="15.6" customHeight="1">
      <c r="A14" s="11">
        <f>ROW()-ROW($A$2)</f>
        <v/>
      </c>
      <c r="B14" s="7" t="inlineStr">
        <is>
          <t>Dhanraj Dinsor</t>
        </is>
      </c>
      <c r="C14" s="12" t="inlineStr">
        <is>
          <t>Ferawala</t>
        </is>
      </c>
      <c r="D14" s="12" t="inlineStr">
        <is>
          <t>Stadium</t>
        </is>
      </c>
      <c r="E14" s="68" t="n">
        <v>1</v>
      </c>
      <c r="F14" s="73" t="n">
        <v>0</v>
      </c>
      <c r="G14" s="73" t="n">
        <v>8</v>
      </c>
      <c r="H14" s="74">
        <f>SUM(F14:G14)</f>
        <v/>
      </c>
      <c r="I14" s="75" t="n"/>
      <c r="J14" s="76">
        <f>SUM(H14*I14)</f>
        <v/>
      </c>
      <c r="K14" s="8" t="n"/>
      <c r="L14" s="77" t="n"/>
      <c r="M14" s="13" t="n"/>
      <c r="N14" s="27" t="n"/>
      <c r="O14" s="13" t="n"/>
      <c r="P14" s="13" t="n"/>
      <c r="Q14" t="inlineStr">
        <is>
          <t>EMP-5CF2EF8C</t>
        </is>
      </c>
      <c r="R14" t="inlineStr">
        <is>
          <t>Active</t>
        </is>
      </c>
    </row>
    <row r="15" ht="15.6" customHeight="1">
      <c r="A15" s="11">
        <f>ROW()-ROW($A$2)</f>
        <v/>
      </c>
      <c r="B15" s="7" t="inlineStr">
        <is>
          <t>Sunil Nanoma</t>
        </is>
      </c>
      <c r="C15" s="12" t="inlineStr">
        <is>
          <t>Ferawala</t>
        </is>
      </c>
      <c r="D15" s="12" t="inlineStr">
        <is>
          <t>Stadium</t>
        </is>
      </c>
      <c r="E15" s="68" t="n">
        <v>1</v>
      </c>
      <c r="F15" s="73" t="n">
        <v>0</v>
      </c>
      <c r="G15" s="73" t="n">
        <v>8</v>
      </c>
      <c r="H15" s="74">
        <f>SUM(F15:G15)</f>
        <v/>
      </c>
      <c r="I15" s="75" t="n"/>
      <c r="J15" s="76">
        <f>SUM(H15*I15)</f>
        <v/>
      </c>
      <c r="K15" s="8" t="n"/>
      <c r="L15" s="77" t="n"/>
      <c r="M15" s="13" t="n"/>
      <c r="N15" s="27" t="n"/>
      <c r="O15" s="13" t="n"/>
      <c r="P15" s="13" t="n"/>
      <c r="Q15" t="inlineStr">
        <is>
          <t>EMP-95B4B867</t>
        </is>
      </c>
      <c r="R15" t="inlineStr">
        <is>
          <t>Active</t>
        </is>
      </c>
    </row>
    <row r="16" ht="15.6" customHeight="1">
      <c r="A16" s="11">
        <f>ROW()-ROW($A$2)</f>
        <v/>
      </c>
      <c r="B16" s="7" t="inlineStr">
        <is>
          <t>Kishan Yadav</t>
        </is>
      </c>
      <c r="C16" s="12" t="inlineStr">
        <is>
          <t>Ferawala</t>
        </is>
      </c>
      <c r="D16" s="12" t="inlineStr">
        <is>
          <t>Stadium</t>
        </is>
      </c>
      <c r="E16" s="68" t="n">
        <v>1</v>
      </c>
      <c r="F16" s="73" t="n">
        <v>0</v>
      </c>
      <c r="G16" s="73" t="n">
        <v>8</v>
      </c>
      <c r="H16" s="74">
        <f>SUM(F16:G16)</f>
        <v/>
      </c>
      <c r="I16" s="75" t="n"/>
      <c r="J16" s="76">
        <f>SUM(H16*I16)</f>
        <v/>
      </c>
      <c r="K16" s="8" t="n"/>
      <c r="L16" s="77" t="n"/>
      <c r="M16" s="13" t="n"/>
      <c r="N16" s="27" t="n"/>
      <c r="O16" s="13" t="n"/>
      <c r="P16" s="13" t="n"/>
      <c r="Q16" t="inlineStr">
        <is>
          <t>EMP-88B72F96</t>
        </is>
      </c>
      <c r="R16" t="inlineStr">
        <is>
          <t>Active</t>
        </is>
      </c>
    </row>
    <row r="17" ht="15.6" customHeight="1">
      <c r="A17" s="11" t="n"/>
      <c r="B17" s="7" t="n"/>
      <c r="C17" s="12" t="n"/>
      <c r="D17" s="12" t="n"/>
      <c r="E17" s="68" t="n"/>
      <c r="F17" s="73" t="n"/>
      <c r="G17" s="73" t="n"/>
      <c r="H17" s="74" t="n"/>
      <c r="I17" s="75" t="n"/>
      <c r="J17" s="76" t="n"/>
      <c r="K17" s="8" t="n"/>
      <c r="L17" s="77" t="n"/>
      <c r="M17" s="13" t="n"/>
      <c r="N17" s="27" t="n"/>
      <c r="O17" s="13" t="n"/>
      <c r="P17" s="13" t="n"/>
    </row>
    <row r="18" ht="15.6" customHeight="1">
      <c r="A18" s="11" t="n"/>
      <c r="B18" s="7" t="n"/>
      <c r="C18" s="12" t="n"/>
      <c r="D18" s="12" t="n"/>
      <c r="E18" s="68" t="n"/>
      <c r="F18" s="73" t="n"/>
      <c r="G18" s="73" t="n"/>
      <c r="H18" s="74" t="n"/>
      <c r="I18" s="75" t="n"/>
      <c r="J18" s="76" t="n"/>
      <c r="K18" s="8" t="n"/>
      <c r="L18" s="77" t="n"/>
      <c r="M18" s="13" t="n"/>
      <c r="N18" s="27" t="n"/>
      <c r="O18" s="13" t="n"/>
      <c r="P18" s="13" t="n"/>
    </row>
    <row r="19" ht="15.6" customHeight="1">
      <c r="A19" s="11" t="n"/>
      <c r="B19" s="7" t="n"/>
      <c r="C19" s="12" t="n"/>
      <c r="D19" s="12" t="n"/>
      <c r="E19" s="68" t="n"/>
      <c r="F19" s="73" t="n"/>
      <c r="G19" s="73" t="n"/>
      <c r="H19" s="74" t="n"/>
      <c r="I19" s="75" t="n"/>
      <c r="J19" s="76" t="n"/>
      <c r="K19" s="8" t="n"/>
      <c r="L19" s="77" t="n"/>
      <c r="M19" s="13" t="n"/>
      <c r="N19" s="27" t="n"/>
      <c r="O19" s="13" t="n"/>
      <c r="P19" s="13" t="n"/>
    </row>
    <row r="20" ht="15.6" customHeight="1">
      <c r="A20" s="11" t="n"/>
      <c r="B20" s="7" t="n"/>
      <c r="C20" s="12" t="n"/>
      <c r="D20" s="12" t="n"/>
      <c r="E20" s="68" t="n"/>
      <c r="F20" s="73" t="n"/>
      <c r="G20" s="73" t="n"/>
      <c r="H20" s="74" t="n"/>
      <c r="I20" s="75" t="n"/>
      <c r="J20" s="76" t="n"/>
      <c r="K20" s="8" t="n"/>
      <c r="L20" s="77" t="n"/>
      <c r="M20" s="13" t="n"/>
      <c r="N20" s="27" t="n"/>
      <c r="O20" s="13" t="n"/>
      <c r="P20" s="1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F9" sqref="F9"/>
    </sheetView>
  </sheetViews>
  <sheetFormatPr baseColWidth="8" defaultRowHeight="14.4"/>
  <cols>
    <col width="38.109375" customWidth="1" min="2" max="2"/>
    <col width="13.109375" customWidth="1" min="3" max="3"/>
    <col width="15.33203125" customWidth="1" min="4" max="4"/>
  </cols>
  <sheetData>
    <row r="1" ht="23.4" customHeight="1">
      <c r="A1" s="22" t="n"/>
      <c r="B1" s="23" t="inlineStr">
        <is>
          <t>Tejsingh Sisodiya</t>
        </is>
      </c>
      <c r="C1" s="23" t="inlineStr">
        <is>
          <t>Extra Staff Diwali-26</t>
        </is>
      </c>
      <c r="D1" s="23" t="n"/>
      <c r="E1" s="24" t="n"/>
      <c r="F1" s="22" t="n"/>
      <c r="G1" s="22" t="n"/>
      <c r="H1" s="22" t="n"/>
      <c r="I1" s="22" t="n"/>
      <c r="J1" s="67" t="n"/>
      <c r="K1" s="22" t="n"/>
      <c r="L1" s="22" t="n"/>
      <c r="M1" s="25" t="n"/>
      <c r="N1" s="25" t="n"/>
      <c r="O1" s="38" t="n"/>
      <c r="P1" s="38" t="n"/>
    </row>
    <row r="2" ht="32.4" customHeight="1">
      <c r="A2" s="14" t="inlineStr">
        <is>
          <t>No.</t>
        </is>
      </c>
      <c r="B2" s="15" t="inlineStr">
        <is>
          <t>Staff Name</t>
        </is>
      </c>
      <c r="C2" s="63" t="inlineStr">
        <is>
          <t>Designation</t>
        </is>
      </c>
      <c r="D2" s="63" t="inlineStr">
        <is>
          <t>Loctation</t>
        </is>
      </c>
      <c r="E2" s="68" t="inlineStr">
        <is>
          <t>Staff</t>
        </is>
      </c>
      <c r="F2" s="69" t="inlineStr">
        <is>
          <t>Sept Present</t>
        </is>
      </c>
      <c r="G2" s="69" t="inlineStr">
        <is>
          <t>Octo Present</t>
        </is>
      </c>
      <c r="H2" s="69" t="inlineStr">
        <is>
          <t>Total Present</t>
        </is>
      </c>
      <c r="I2" s="17" t="inlineStr">
        <is>
          <t>Per Day Pay</t>
        </is>
      </c>
      <c r="J2" s="70" t="inlineStr">
        <is>
          <t>Net Pay</t>
        </is>
      </c>
      <c r="K2" s="18" t="inlineStr">
        <is>
          <t>2026 Per Day</t>
        </is>
      </c>
      <c r="L2" s="71" t="inlineStr">
        <is>
          <t>Sweet Kg.</t>
        </is>
      </c>
      <c r="M2" s="71" t="inlineStr">
        <is>
          <t>Aadhar</t>
        </is>
      </c>
      <c r="N2" s="72" t="inlineStr">
        <is>
          <t>Mobile</t>
        </is>
      </c>
      <c r="O2" s="71" t="inlineStr">
        <is>
          <t>From Date</t>
        </is>
      </c>
      <c r="P2" s="71" t="inlineStr">
        <is>
          <t>To Date</t>
        </is>
      </c>
      <c r="Q2" t="inlineStr">
        <is>
          <t>App ID</t>
        </is>
      </c>
      <c r="R2" t="inlineStr">
        <is>
          <t>Employment Status</t>
        </is>
      </c>
      <c r="S2" t="inlineStr">
        <is>
          <t>Departure Date</t>
        </is>
      </c>
      <c r="T2" t="inlineStr">
        <is>
          <t>Departure Reason</t>
        </is>
      </c>
      <c r="U2" t="inlineStr">
        <is>
          <t>Status Verified</t>
        </is>
      </c>
    </row>
    <row r="3" ht="15.6" customHeight="1">
      <c r="A3" s="11">
        <f>ROW()-ROW($A$2)</f>
        <v/>
      </c>
      <c r="B3" s="12" t="inlineStr">
        <is>
          <t>Gajendra Nathuram Mina</t>
        </is>
      </c>
      <c r="C3" s="12" t="inlineStr">
        <is>
          <t>Rasoda Staff</t>
        </is>
      </c>
      <c r="D3" s="12" t="inlineStr">
        <is>
          <t>Aashram Road</t>
        </is>
      </c>
      <c r="E3" s="68" t="n">
        <v>1</v>
      </c>
      <c r="F3" s="73" t="n"/>
      <c r="G3" s="73" t="n">
        <v>15</v>
      </c>
      <c r="H3" s="74">
        <f>SUM(F3:G3)</f>
        <v/>
      </c>
      <c r="I3" s="75" t="n">
        <v>100</v>
      </c>
      <c r="J3" s="76">
        <f>SUM(H3*I3)</f>
        <v/>
      </c>
      <c r="K3" s="21" t="n"/>
      <c r="L3" s="77" t="n"/>
      <c r="M3" s="13" t="n"/>
      <c r="N3" s="27" t="n"/>
      <c r="O3" s="13" t="n"/>
      <c r="P3" s="13" t="n"/>
      <c r="Q3" t="inlineStr">
        <is>
          <t>EMP-29BAAF12</t>
        </is>
      </c>
      <c r="R3" t="inlineStr">
        <is>
          <t>Active</t>
        </is>
      </c>
    </row>
    <row r="4" ht="15.6" customHeight="1">
      <c r="A4" s="11">
        <f>ROW()-ROW($A$2)</f>
        <v/>
      </c>
      <c r="B4" s="12" t="inlineStr">
        <is>
          <t>Lilaram Hemrajji Vyas</t>
        </is>
      </c>
      <c r="C4" s="12" t="inlineStr">
        <is>
          <t>Rasoda Staff</t>
        </is>
      </c>
      <c r="D4" s="12" t="inlineStr">
        <is>
          <t>Aashram Road</t>
        </is>
      </c>
      <c r="E4" s="68" t="n">
        <v>1</v>
      </c>
      <c r="F4" s="73" t="n"/>
      <c r="G4" s="73" t="n">
        <v>16</v>
      </c>
      <c r="H4" s="74">
        <f>SUM(F4:G4)</f>
        <v/>
      </c>
      <c r="I4" s="75" t="n"/>
      <c r="J4" s="76">
        <f>SUM(H4*I4)</f>
        <v/>
      </c>
      <c r="K4" s="5" t="n"/>
      <c r="L4" s="78" t="n"/>
      <c r="M4" s="13" t="n"/>
      <c r="N4" s="27" t="n"/>
      <c r="O4" s="13" t="n"/>
      <c r="P4" s="13" t="n"/>
      <c r="Q4" t="inlineStr">
        <is>
          <t>EMP-1DFF98FC</t>
        </is>
      </c>
      <c r="R4" t="inlineStr">
        <is>
          <t>Active</t>
        </is>
      </c>
    </row>
    <row r="5" ht="15.6" customHeight="1">
      <c r="A5" s="11">
        <f>ROW()-ROW($A$2)</f>
        <v/>
      </c>
      <c r="B5" s="7" t="inlineStr">
        <is>
          <t>Bhavnsingh Himmatsingh Sisodiya</t>
        </is>
      </c>
      <c r="C5" s="12" t="inlineStr">
        <is>
          <t>Rasoda Staff</t>
        </is>
      </c>
      <c r="D5" s="12" t="inlineStr">
        <is>
          <t>Aashram Road</t>
        </is>
      </c>
      <c r="E5" s="68" t="n">
        <v>1</v>
      </c>
      <c r="F5" s="73" t="n"/>
      <c r="G5" s="73" t="n">
        <v>16</v>
      </c>
      <c r="H5" s="74">
        <f>SUM(F5:G5)</f>
        <v/>
      </c>
      <c r="I5" s="75" t="n"/>
      <c r="J5" s="76">
        <f>SUM(H5*I5)</f>
        <v/>
      </c>
      <c r="K5" s="8" t="n"/>
      <c r="L5" s="77" t="n"/>
      <c r="M5" s="13" t="n"/>
      <c r="N5" s="27" t="n"/>
      <c r="O5" s="13" t="n"/>
      <c r="P5" s="13" t="n"/>
      <c r="Q5" t="inlineStr">
        <is>
          <t>EMP-D9CB2CC8</t>
        </is>
      </c>
      <c r="R5" t="inlineStr">
        <is>
          <t>Active</t>
        </is>
      </c>
    </row>
    <row r="6" ht="15.6" customHeight="1">
      <c r="A6" s="11">
        <f>ROW()-ROW($A$2)</f>
        <v/>
      </c>
      <c r="B6" s="7" t="inlineStr">
        <is>
          <t>Pravin Lilaram Vyas (Sardar singh)</t>
        </is>
      </c>
      <c r="C6" s="12" t="inlineStr">
        <is>
          <t>Rasoda Staff</t>
        </is>
      </c>
      <c r="D6" s="12" t="inlineStr">
        <is>
          <t>Aashram Road</t>
        </is>
      </c>
      <c r="E6" s="68" t="n">
        <v>1</v>
      </c>
      <c r="F6" s="73" t="n"/>
      <c r="G6" s="73" t="n">
        <v>16</v>
      </c>
      <c r="H6" s="74">
        <f>SUM(F6:G6)</f>
        <v/>
      </c>
      <c r="I6" s="75" t="n"/>
      <c r="J6" s="76">
        <f>SUM(H6*I6)</f>
        <v/>
      </c>
      <c r="K6" s="8" t="n"/>
      <c r="L6" s="77" t="n"/>
      <c r="M6" s="13" t="n"/>
      <c r="N6" s="27" t="n"/>
      <c r="O6" s="13" t="n"/>
      <c r="P6" s="13" t="n"/>
      <c r="Q6" t="inlineStr">
        <is>
          <t>EMP-A93E0A57</t>
        </is>
      </c>
      <c r="R6" t="inlineStr">
        <is>
          <t>Active</t>
        </is>
      </c>
    </row>
    <row r="7" ht="15.6" customHeight="1">
      <c r="A7" s="11">
        <f>ROW()-ROW($A$2)</f>
        <v/>
      </c>
      <c r="B7" s="7" t="inlineStr">
        <is>
          <t>Bhimshingh Chulsingh Rathod</t>
        </is>
      </c>
      <c r="C7" s="12" t="inlineStr">
        <is>
          <t>Rasoda Staff</t>
        </is>
      </c>
      <c r="D7" s="12" t="inlineStr">
        <is>
          <t>Aashram Road</t>
        </is>
      </c>
      <c r="E7" s="68" t="n">
        <v>1</v>
      </c>
      <c r="F7" s="73" t="n"/>
      <c r="G7" s="73" t="n">
        <v>16</v>
      </c>
      <c r="H7" s="74">
        <f>SUM(F7:G7)</f>
        <v/>
      </c>
      <c r="I7" s="75" t="n"/>
      <c r="J7" s="76">
        <f>SUM(H7*I7)</f>
        <v/>
      </c>
      <c r="K7" s="8" t="n"/>
      <c r="L7" s="77" t="n"/>
      <c r="M7" s="13" t="n"/>
      <c r="N7" s="27" t="n"/>
      <c r="O7" s="13" t="n"/>
      <c r="P7" s="13" t="n"/>
      <c r="Q7" t="inlineStr">
        <is>
          <t>EMP-0CFEFFFD</t>
        </is>
      </c>
      <c r="R7" t="inlineStr">
        <is>
          <t>Active</t>
        </is>
      </c>
    </row>
    <row r="8" ht="15.6" customHeight="1">
      <c r="A8" s="11">
        <f>ROW()-ROW($A$2)</f>
        <v/>
      </c>
      <c r="B8" s="7" t="inlineStr">
        <is>
          <t>Gotambhai Valjibhai Mina</t>
        </is>
      </c>
      <c r="C8" s="12" t="inlineStr">
        <is>
          <t>Rasoda Staff</t>
        </is>
      </c>
      <c r="D8" s="12" t="inlineStr">
        <is>
          <t>Aashram Road</t>
        </is>
      </c>
      <c r="E8" s="68" t="n">
        <v>1</v>
      </c>
      <c r="F8" s="73" t="n"/>
      <c r="G8" s="73" t="n">
        <v>12</v>
      </c>
      <c r="H8" s="74">
        <f>SUM(F8:G8)</f>
        <v/>
      </c>
      <c r="I8" s="75" t="n"/>
      <c r="J8" s="76">
        <f>SUM(H8*I8)</f>
        <v/>
      </c>
      <c r="K8" s="8" t="n"/>
      <c r="L8" s="77" t="n"/>
      <c r="M8" s="13" t="n"/>
      <c r="N8" s="27" t="n"/>
      <c r="O8" s="13" t="n"/>
      <c r="P8" s="13" t="n"/>
      <c r="Q8" t="inlineStr">
        <is>
          <t>EMP-757728FE</t>
        </is>
      </c>
      <c r="R8" t="inlineStr">
        <is>
          <t>Active</t>
        </is>
      </c>
    </row>
    <row r="9" ht="15.6" customHeight="1">
      <c r="A9" s="11">
        <f>ROW()-ROW($A$2)</f>
        <v/>
      </c>
      <c r="B9" s="7" t="inlineStr">
        <is>
          <t>Lakshmansingh Himmatsingh Rathod</t>
        </is>
      </c>
      <c r="C9" s="12" t="inlineStr">
        <is>
          <t>Rasoda Staff</t>
        </is>
      </c>
      <c r="D9" s="12" t="inlineStr">
        <is>
          <t>Aashram Road</t>
        </is>
      </c>
      <c r="E9" s="68" t="n">
        <v>1</v>
      </c>
      <c r="F9" s="73" t="n"/>
      <c r="G9" s="73" t="n">
        <v>6</v>
      </c>
      <c r="H9" s="74">
        <f>SUM(F9:G9)</f>
        <v/>
      </c>
      <c r="I9" s="75" t="n"/>
      <c r="J9" s="76">
        <f>SUM(H9*I9)</f>
        <v/>
      </c>
      <c r="K9" s="8" t="n"/>
      <c r="L9" s="77" t="n"/>
      <c r="M9" s="13" t="n"/>
      <c r="N9" s="27" t="n"/>
      <c r="O9" s="13" t="n"/>
      <c r="P9" s="13" t="n"/>
      <c r="Q9" t="inlineStr">
        <is>
          <t>EMP-682B21C7</t>
        </is>
      </c>
      <c r="R9" t="inlineStr">
        <is>
          <t>Active</t>
        </is>
      </c>
    </row>
    <row r="10" ht="15.6" customHeight="1">
      <c r="A10" s="11">
        <f>ROW()-ROW($A$2)</f>
        <v/>
      </c>
      <c r="B10" s="7" t="inlineStr">
        <is>
          <t>Lakshmansingh Lalsingh Rathod</t>
        </is>
      </c>
      <c r="C10" s="12" t="inlineStr">
        <is>
          <t>Rasoda Staff</t>
        </is>
      </c>
      <c r="D10" s="12" t="inlineStr">
        <is>
          <t>Aashram Road</t>
        </is>
      </c>
      <c r="E10" s="68" t="n">
        <v>1</v>
      </c>
      <c r="F10" s="73" t="n"/>
      <c r="G10" s="73" t="n"/>
      <c r="H10" s="74">
        <f>SUM(F10:G10)</f>
        <v/>
      </c>
      <c r="I10" s="75" t="n"/>
      <c r="J10" s="76">
        <f>SUM(H10*I10)</f>
        <v/>
      </c>
      <c r="K10" s="8" t="n"/>
      <c r="L10" s="77" t="n"/>
      <c r="M10" s="13" t="n"/>
      <c r="N10" s="27" t="n"/>
      <c r="O10" s="13" t="n"/>
      <c r="P10" s="13" t="n"/>
      <c r="Q10" t="inlineStr">
        <is>
          <t>EMP-CF177933</t>
        </is>
      </c>
      <c r="R10" t="inlineStr">
        <is>
          <t>Active</t>
        </is>
      </c>
    </row>
    <row r="11" ht="15.6" customHeight="1">
      <c r="A11" s="11" t="n"/>
      <c r="B11" s="7" t="n"/>
      <c r="C11" s="12" t="n"/>
      <c r="D11" s="12" t="n"/>
      <c r="E11" s="68" t="n"/>
      <c r="F11" s="73" t="n"/>
      <c r="G11" s="73" t="n"/>
      <c r="H11" s="74" t="n"/>
      <c r="I11" s="75" t="n"/>
      <c r="J11" s="76" t="n"/>
      <c r="K11" s="8" t="n"/>
      <c r="L11" s="77" t="n"/>
      <c r="M11" s="13" t="n"/>
      <c r="N11" s="27" t="n"/>
      <c r="O11" s="13" t="n"/>
      <c r="P11" s="13" t="n"/>
    </row>
    <row r="12" ht="15.6" customHeight="1">
      <c r="A12" s="11" t="n"/>
      <c r="B12" s="7" t="n"/>
      <c r="C12" s="12" t="n"/>
      <c r="D12" s="12" t="n"/>
      <c r="E12" s="68" t="n"/>
      <c r="F12" s="73" t="n"/>
      <c r="G12" s="73" t="n"/>
      <c r="H12" s="74" t="n"/>
      <c r="I12" s="75" t="n"/>
      <c r="J12" s="76" t="n"/>
      <c r="K12" s="8" t="n"/>
      <c r="L12" s="77" t="n"/>
      <c r="M12" s="13" t="n"/>
      <c r="N12" s="27" t="n"/>
      <c r="O12" s="13" t="n"/>
      <c r="P12" s="13" t="n"/>
    </row>
    <row r="13" ht="15.6" customHeight="1">
      <c r="A13" s="11" t="n"/>
      <c r="B13" s="7" t="n"/>
      <c r="C13" s="12" t="n"/>
      <c r="D13" s="12" t="n"/>
      <c r="E13" s="68" t="n"/>
      <c r="F13" s="73" t="n"/>
      <c r="G13" s="73" t="n"/>
      <c r="H13" s="74" t="n"/>
      <c r="I13" s="75" t="n"/>
      <c r="J13" s="76" t="n"/>
      <c r="K13" s="8" t="n"/>
      <c r="L13" s="77" t="n"/>
      <c r="M13" s="13" t="n"/>
      <c r="N13" s="27" t="n"/>
      <c r="O13" s="13" t="n"/>
      <c r="P13" s="13" t="n"/>
    </row>
    <row r="14" ht="15.6" customHeight="1">
      <c r="A14" s="11" t="n"/>
      <c r="B14" s="7" t="n"/>
      <c r="C14" s="12" t="n"/>
      <c r="D14" s="12" t="n"/>
      <c r="E14" s="68" t="n"/>
      <c r="F14" s="73" t="n"/>
      <c r="G14" s="73" t="n"/>
      <c r="H14" s="74" t="n"/>
      <c r="I14" s="75" t="n"/>
      <c r="J14" s="76" t="n"/>
      <c r="K14" s="8" t="n"/>
      <c r="L14" s="77" t="n"/>
      <c r="M14" s="13" t="n"/>
      <c r="N14" s="27" t="n"/>
      <c r="O14" s="13" t="n"/>
      <c r="P14" s="13" t="n"/>
    </row>
    <row r="15" ht="15.6" customHeight="1">
      <c r="A15" s="11" t="n"/>
      <c r="B15" s="7" t="n"/>
      <c r="C15" s="12" t="n"/>
      <c r="D15" s="12" t="n"/>
      <c r="E15" s="68" t="n"/>
      <c r="F15" s="73" t="n"/>
      <c r="G15" s="73" t="n"/>
      <c r="H15" s="74" t="n"/>
      <c r="I15" s="75" t="n"/>
      <c r="J15" s="76" t="n"/>
      <c r="K15" s="8" t="n"/>
      <c r="L15" s="77" t="n"/>
      <c r="M15" s="13" t="n"/>
      <c r="N15" s="27" t="n"/>
      <c r="O15" s="13" t="n"/>
      <c r="P15" s="13" t="n"/>
    </row>
    <row r="16" ht="15.6" customHeight="1">
      <c r="A16" s="11" t="n"/>
      <c r="B16" s="7" t="n"/>
      <c r="C16" s="12" t="n"/>
      <c r="D16" s="12" t="n"/>
      <c r="E16" s="68" t="n"/>
      <c r="F16" s="73" t="n"/>
      <c r="G16" s="73" t="n"/>
      <c r="H16" s="74" t="n"/>
      <c r="I16" s="75" t="n"/>
      <c r="J16" s="76" t="n"/>
      <c r="K16" s="8" t="n"/>
      <c r="L16" s="77" t="n"/>
      <c r="M16" s="13" t="n"/>
      <c r="N16" s="27" t="n"/>
      <c r="O16" s="13" t="n"/>
      <c r="P16" s="13" t="n"/>
    </row>
    <row r="17" ht="15.6" customHeight="1">
      <c r="A17" s="11" t="n"/>
      <c r="B17" s="7" t="n"/>
      <c r="C17" s="12" t="n"/>
      <c r="D17" s="12" t="n"/>
      <c r="E17" s="68" t="n"/>
      <c r="F17" s="73" t="n"/>
      <c r="G17" s="73" t="n"/>
      <c r="H17" s="74" t="n"/>
      <c r="I17" s="75" t="n"/>
      <c r="J17" s="76" t="n"/>
      <c r="K17" s="8" t="n"/>
      <c r="L17" s="77" t="n"/>
      <c r="M17" s="13" t="n"/>
      <c r="N17" s="27" t="n"/>
      <c r="O17" s="13" t="n"/>
      <c r="P17" s="13" t="n"/>
    </row>
    <row r="18" ht="15.6" customHeight="1">
      <c r="A18" s="11" t="n"/>
      <c r="B18" s="7" t="n"/>
      <c r="C18" s="12" t="n"/>
      <c r="D18" s="12" t="n"/>
      <c r="E18" s="68" t="n"/>
      <c r="F18" s="73" t="n"/>
      <c r="G18" s="73" t="n"/>
      <c r="H18" s="74" t="n"/>
      <c r="I18" s="75" t="n"/>
      <c r="J18" s="76" t="n"/>
      <c r="K18" s="8" t="n"/>
      <c r="L18" s="77" t="n"/>
      <c r="M18" s="13" t="n"/>
      <c r="N18" s="27" t="n"/>
      <c r="O18" s="13" t="n"/>
      <c r="P18" s="13" t="n"/>
    </row>
    <row r="19" ht="15.6" customHeight="1">
      <c r="A19" s="11" t="n"/>
      <c r="B19" s="7" t="n"/>
      <c r="C19" s="12" t="n"/>
      <c r="D19" s="12" t="n"/>
      <c r="E19" s="68" t="n"/>
      <c r="F19" s="73" t="n"/>
      <c r="G19" s="73" t="n"/>
      <c r="H19" s="74" t="n"/>
      <c r="I19" s="75" t="n"/>
      <c r="J19" s="76" t="n"/>
      <c r="K19" s="8" t="n"/>
      <c r="L19" s="77" t="n"/>
      <c r="M19" s="13" t="n"/>
      <c r="N19" s="27" t="n"/>
      <c r="O19" s="13" t="n"/>
      <c r="P19" s="13" t="n"/>
    </row>
    <row r="20" ht="15.6" customHeight="1">
      <c r="A20" s="11" t="n"/>
      <c r="B20" s="7" t="n"/>
      <c r="C20" s="12" t="n"/>
      <c r="D20" s="12" t="n"/>
      <c r="E20" s="68" t="n"/>
      <c r="F20" s="73" t="n"/>
      <c r="G20" s="73" t="n"/>
      <c r="H20" s="74" t="n"/>
      <c r="I20" s="75" t="n"/>
      <c r="J20" s="76" t="n"/>
      <c r="K20" s="8" t="n"/>
      <c r="L20" s="77" t="n"/>
      <c r="M20" s="13" t="n"/>
      <c r="N20" s="27" t="n"/>
      <c r="O20" s="13" t="n"/>
      <c r="P20" s="13" t="n"/>
    </row>
    <row r="21" ht="15.6" customHeight="1">
      <c r="A21" s="11" t="n"/>
      <c r="B21" s="7" t="n"/>
      <c r="C21" s="12" t="n"/>
      <c r="D21" s="12" t="n"/>
      <c r="E21" s="68" t="n"/>
      <c r="F21" s="73" t="n"/>
      <c r="G21" s="73" t="n"/>
      <c r="H21" s="74" t="n"/>
      <c r="I21" s="75" t="n"/>
      <c r="J21" s="76" t="n"/>
      <c r="K21" s="8" t="n"/>
      <c r="L21" s="77" t="n"/>
      <c r="M21" s="13" t="n"/>
      <c r="N21" s="27" t="n"/>
      <c r="O21" s="13" t="n"/>
      <c r="P21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F6" sqref="F6"/>
    </sheetView>
  </sheetViews>
  <sheetFormatPr baseColWidth="8" defaultRowHeight="14.4"/>
  <cols>
    <col width="38.109375" customWidth="1" min="2" max="2"/>
    <col width="13.109375" customWidth="1" min="3" max="3"/>
    <col width="15.33203125" customWidth="1" min="4" max="4"/>
  </cols>
  <sheetData>
    <row r="1" ht="23.4" customHeight="1">
      <c r="A1" s="22" t="n"/>
      <c r="B1" s="23" t="inlineStr">
        <is>
          <t>Shaileshbhai Prajapati</t>
        </is>
      </c>
      <c r="C1" s="23" t="inlineStr">
        <is>
          <t>Extra Staff Diwali-26</t>
        </is>
      </c>
      <c r="D1" s="23" t="n"/>
      <c r="E1" s="24" t="n"/>
      <c r="F1" s="22" t="n"/>
      <c r="G1" s="22" t="n"/>
      <c r="H1" s="22" t="n"/>
      <c r="I1" s="22" t="n"/>
      <c r="J1" s="67" t="n"/>
      <c r="K1" s="22" t="n"/>
      <c r="L1" s="22" t="n"/>
      <c r="M1" s="25" t="n"/>
      <c r="N1" s="25" t="n"/>
      <c r="O1" s="38" t="n"/>
      <c r="P1" s="38" t="n"/>
    </row>
    <row r="2" ht="32.4" customHeight="1">
      <c r="A2" s="14" t="inlineStr">
        <is>
          <t>No.</t>
        </is>
      </c>
      <c r="B2" s="15" t="inlineStr">
        <is>
          <t>Staff Name</t>
        </is>
      </c>
      <c r="C2" s="63" t="inlineStr">
        <is>
          <t>Designation</t>
        </is>
      </c>
      <c r="D2" s="63" t="inlineStr">
        <is>
          <t>Loctation</t>
        </is>
      </c>
      <c r="E2" s="68" t="inlineStr">
        <is>
          <t>Staff</t>
        </is>
      </c>
      <c r="F2" s="69" t="inlineStr">
        <is>
          <t>Sept Present</t>
        </is>
      </c>
      <c r="G2" s="69" t="inlineStr">
        <is>
          <t>Octo Present</t>
        </is>
      </c>
      <c r="H2" s="69" t="inlineStr">
        <is>
          <t>Total Present</t>
        </is>
      </c>
      <c r="I2" s="17" t="inlineStr">
        <is>
          <t>Per Day Pay</t>
        </is>
      </c>
      <c r="J2" s="70" t="inlineStr">
        <is>
          <t>Net Pay</t>
        </is>
      </c>
      <c r="K2" s="18" t="inlineStr">
        <is>
          <t>2026 Per Day</t>
        </is>
      </c>
      <c r="L2" s="71" t="inlineStr">
        <is>
          <t>Sweet Kg.</t>
        </is>
      </c>
      <c r="M2" s="71" t="inlineStr">
        <is>
          <t>Aadhar</t>
        </is>
      </c>
      <c r="N2" s="72" t="inlineStr">
        <is>
          <t>Mobile</t>
        </is>
      </c>
      <c r="O2" s="71" t="inlineStr">
        <is>
          <t>From Date</t>
        </is>
      </c>
      <c r="P2" s="71" t="inlineStr">
        <is>
          <t>To Date</t>
        </is>
      </c>
      <c r="Q2" t="inlineStr">
        <is>
          <t>App ID</t>
        </is>
      </c>
      <c r="R2" t="inlineStr">
        <is>
          <t>Employment Status</t>
        </is>
      </c>
      <c r="S2" t="inlineStr">
        <is>
          <t>Departure Date</t>
        </is>
      </c>
      <c r="T2" t="inlineStr">
        <is>
          <t>Departure Reason</t>
        </is>
      </c>
      <c r="U2" t="inlineStr">
        <is>
          <t>Status Verified</t>
        </is>
      </c>
    </row>
    <row r="3" ht="15.6" customHeight="1">
      <c r="A3" s="11">
        <f>ROW()-ROW($A$2)</f>
        <v/>
      </c>
      <c r="B3" s="12" t="inlineStr">
        <is>
          <t>Dhruv Jayendra</t>
        </is>
      </c>
      <c r="C3" s="12" t="n"/>
      <c r="D3" s="12" t="inlineStr">
        <is>
          <t>Aashram Road</t>
        </is>
      </c>
      <c r="E3" s="68" t="n">
        <v>1</v>
      </c>
      <c r="F3" s="73" t="n">
        <v>0</v>
      </c>
      <c r="G3" s="73" t="n">
        <v>9</v>
      </c>
      <c r="H3" s="74">
        <f>SUM(F3:G3)</f>
        <v/>
      </c>
      <c r="I3" s="75" t="n">
        <v>100</v>
      </c>
      <c r="J3" s="76">
        <f>SUM(H3*I3)</f>
        <v/>
      </c>
      <c r="K3" s="21" t="n"/>
      <c r="L3" s="77" t="n"/>
      <c r="M3" s="13" t="n"/>
      <c r="N3" s="27" t="n"/>
      <c r="O3" s="13" t="n"/>
      <c r="P3" s="13" t="n"/>
      <c r="Q3" t="inlineStr">
        <is>
          <t>EMP-3FC067EC</t>
        </is>
      </c>
      <c r="R3" t="inlineStr">
        <is>
          <t>Active</t>
        </is>
      </c>
    </row>
    <row r="4" ht="15.6" customHeight="1">
      <c r="A4" s="11">
        <f>ROW()-ROW($A$2)</f>
        <v/>
      </c>
      <c r="B4" s="12" t="inlineStr">
        <is>
          <t>Dixit Balvahtbhai</t>
        </is>
      </c>
      <c r="C4" s="12" t="n"/>
      <c r="D4" s="12" t="inlineStr">
        <is>
          <t>Aashram Road</t>
        </is>
      </c>
      <c r="E4" s="68" t="n">
        <v>1</v>
      </c>
      <c r="F4" s="73" t="n">
        <v>0</v>
      </c>
      <c r="G4" s="73" t="n">
        <v>9</v>
      </c>
      <c r="H4" s="74">
        <f>SUM(F4:G4)</f>
        <v/>
      </c>
      <c r="I4" s="75" t="n"/>
      <c r="J4" s="76">
        <f>SUM(H4*I4)</f>
        <v/>
      </c>
      <c r="K4" s="5" t="n"/>
      <c r="L4" s="78" t="n"/>
      <c r="M4" s="13" t="n"/>
      <c r="N4" s="27" t="n"/>
      <c r="O4" s="13" t="n"/>
      <c r="P4" s="13" t="n"/>
      <c r="Q4" t="inlineStr">
        <is>
          <t>EMP-251F0EAC</t>
        </is>
      </c>
      <c r="R4" t="inlineStr">
        <is>
          <t>Active</t>
        </is>
      </c>
    </row>
    <row r="5" ht="15.6" customHeight="1">
      <c r="A5" s="11">
        <f>ROW()-ROW($A$2)</f>
        <v/>
      </c>
      <c r="B5" s="7" t="inlineStr">
        <is>
          <t>Rahul Kharadi</t>
        </is>
      </c>
      <c r="C5" s="12" t="n"/>
      <c r="D5" s="12" t="inlineStr">
        <is>
          <t>Aashram Road</t>
        </is>
      </c>
      <c r="E5" s="68" t="n">
        <v>1</v>
      </c>
      <c r="F5" s="73" t="n">
        <v>0</v>
      </c>
      <c r="G5" s="73" t="n">
        <v>7.5</v>
      </c>
      <c r="H5" s="74">
        <f>SUM(F5:G5)</f>
        <v/>
      </c>
      <c r="I5" s="75" t="n"/>
      <c r="J5" s="76">
        <f>SUM(H5*I5)</f>
        <v/>
      </c>
      <c r="K5" s="8" t="n"/>
      <c r="L5" s="77" t="n"/>
      <c r="M5" s="13" t="n"/>
      <c r="N5" s="27" t="n"/>
      <c r="O5" s="13" t="n"/>
      <c r="P5" s="13" t="n"/>
      <c r="Q5" t="inlineStr">
        <is>
          <t>EMP-39AFE58B</t>
        </is>
      </c>
      <c r="R5" t="inlineStr">
        <is>
          <t>Active</t>
        </is>
      </c>
    </row>
    <row r="6" ht="15.6" customHeight="1">
      <c r="A6" s="11" t="n"/>
      <c r="B6" s="7" t="n"/>
      <c r="C6" s="12" t="n"/>
      <c r="D6" s="12" t="n"/>
      <c r="E6" s="68" t="n"/>
      <c r="F6" s="73" t="n"/>
      <c r="G6" s="73" t="n"/>
      <c r="H6" s="74" t="n"/>
      <c r="I6" s="75" t="n"/>
      <c r="J6" s="76" t="n"/>
      <c r="K6" s="8" t="n"/>
      <c r="L6" s="77" t="n"/>
      <c r="M6" s="13" t="n"/>
      <c r="N6" s="27" t="n"/>
      <c r="O6" s="13" t="n"/>
      <c r="P6" s="13" t="n"/>
    </row>
    <row r="7" ht="15.6" customHeight="1">
      <c r="A7" s="11" t="n"/>
      <c r="B7" s="7" t="n"/>
      <c r="C7" s="12" t="n"/>
      <c r="D7" s="12" t="n"/>
      <c r="E7" s="68" t="n"/>
      <c r="F7" s="73" t="n"/>
      <c r="G7" s="73" t="n"/>
      <c r="H7" s="74" t="n"/>
      <c r="I7" s="75" t="n"/>
      <c r="J7" s="76" t="n"/>
      <c r="K7" s="8" t="n"/>
      <c r="L7" s="77" t="n"/>
      <c r="M7" s="13" t="n"/>
      <c r="N7" s="27" t="n"/>
      <c r="O7" s="13" t="n"/>
      <c r="P7" s="13" t="n"/>
    </row>
    <row r="8" ht="15.6" customHeight="1">
      <c r="A8" s="11" t="n"/>
      <c r="B8" s="7" t="n"/>
      <c r="C8" s="12" t="n"/>
      <c r="D8" s="12" t="n"/>
      <c r="E8" s="68" t="n"/>
      <c r="F8" s="73" t="n"/>
      <c r="G8" s="73" t="n"/>
      <c r="H8" s="74" t="n"/>
      <c r="I8" s="75" t="n"/>
      <c r="J8" s="76" t="n"/>
      <c r="K8" s="8" t="n"/>
      <c r="L8" s="77" t="n"/>
      <c r="M8" s="13" t="n"/>
      <c r="N8" s="27" t="n"/>
      <c r="O8" s="13" t="n"/>
      <c r="P8" s="13" t="n"/>
    </row>
    <row r="9" ht="15.6" customHeight="1">
      <c r="A9" s="11" t="n"/>
      <c r="B9" s="7" t="n"/>
      <c r="C9" s="12" t="n"/>
      <c r="D9" s="12" t="n"/>
      <c r="E9" s="68" t="n"/>
      <c r="F9" s="73" t="n"/>
      <c r="G9" s="73" t="n"/>
      <c r="H9" s="74" t="n"/>
      <c r="I9" s="75" t="n"/>
      <c r="J9" s="76" t="n"/>
      <c r="K9" s="8" t="n"/>
      <c r="L9" s="77" t="n"/>
      <c r="M9" s="13" t="n"/>
      <c r="N9" s="27" t="n"/>
      <c r="O9" s="13" t="n"/>
      <c r="P9" s="13" t="n"/>
    </row>
    <row r="10" ht="15.6" customHeight="1">
      <c r="A10" s="11" t="n"/>
      <c r="B10" s="7" t="n"/>
      <c r="C10" s="12" t="n"/>
      <c r="D10" s="12" t="n"/>
      <c r="E10" s="68" t="n"/>
      <c r="F10" s="73" t="n"/>
      <c r="G10" s="73" t="n"/>
      <c r="H10" s="74" t="n"/>
      <c r="I10" s="75" t="n"/>
      <c r="J10" s="76" t="n"/>
      <c r="K10" s="8" t="n"/>
      <c r="L10" s="77" t="n"/>
      <c r="M10" s="13" t="n"/>
      <c r="N10" s="27" t="n"/>
      <c r="O10" s="13" t="n"/>
      <c r="P10" s="13" t="n"/>
    </row>
    <row r="11" ht="15.6" customHeight="1">
      <c r="A11" s="11" t="n"/>
      <c r="B11" s="7" t="n"/>
      <c r="C11" s="12" t="n"/>
      <c r="D11" s="12" t="n"/>
      <c r="E11" s="68" t="n"/>
      <c r="F11" s="73" t="n"/>
      <c r="G11" s="73" t="n"/>
      <c r="H11" s="74" t="n"/>
      <c r="I11" s="75" t="n"/>
      <c r="J11" s="76" t="n"/>
      <c r="K11" s="8" t="n"/>
      <c r="L11" s="77" t="n"/>
      <c r="M11" s="13" t="n"/>
      <c r="N11" s="27" t="n"/>
      <c r="O11" s="13" t="n"/>
      <c r="P11" s="13" t="n"/>
    </row>
    <row r="12" ht="15.6" customHeight="1">
      <c r="A12" s="11" t="n"/>
      <c r="B12" s="7" t="n"/>
      <c r="C12" s="12" t="n"/>
      <c r="D12" s="12" t="n"/>
      <c r="E12" s="68" t="n"/>
      <c r="F12" s="73" t="n"/>
      <c r="G12" s="73" t="n"/>
      <c r="H12" s="74" t="n"/>
      <c r="I12" s="75" t="n"/>
      <c r="J12" s="76" t="n"/>
      <c r="K12" s="8" t="n"/>
      <c r="L12" s="77" t="n"/>
      <c r="M12" s="13" t="n"/>
      <c r="N12" s="27" t="n"/>
      <c r="O12" s="13" t="n"/>
      <c r="P12" s="13" t="n"/>
    </row>
    <row r="13" ht="15.6" customHeight="1">
      <c r="A13" s="11" t="n"/>
      <c r="B13" s="7" t="n"/>
      <c r="C13" s="12" t="n"/>
      <c r="D13" s="12" t="n"/>
      <c r="E13" s="68" t="n"/>
      <c r="F13" s="73" t="n"/>
      <c r="G13" s="73" t="n"/>
      <c r="H13" s="74" t="n"/>
      <c r="I13" s="75" t="n"/>
      <c r="J13" s="76" t="n"/>
      <c r="K13" s="8" t="n"/>
      <c r="L13" s="77" t="n"/>
      <c r="M13" s="13" t="n"/>
      <c r="N13" s="27" t="n"/>
      <c r="O13" s="13" t="n"/>
      <c r="P13" s="13" t="n"/>
    </row>
    <row r="14" ht="15.6" customHeight="1">
      <c r="A14" s="11" t="n"/>
      <c r="B14" s="7" t="n"/>
      <c r="C14" s="12" t="n"/>
      <c r="D14" s="12" t="n"/>
      <c r="E14" s="68" t="n"/>
      <c r="F14" s="73" t="n"/>
      <c r="G14" s="73" t="n"/>
      <c r="H14" s="74" t="n"/>
      <c r="I14" s="75" t="n"/>
      <c r="J14" s="76" t="n"/>
      <c r="K14" s="8" t="n"/>
      <c r="L14" s="77" t="n"/>
      <c r="M14" s="13" t="n"/>
      <c r="N14" s="27" t="n"/>
      <c r="O14" s="13" t="n"/>
      <c r="P14" s="13" t="n"/>
    </row>
    <row r="15" ht="15.6" customHeight="1">
      <c r="A15" s="11" t="n"/>
      <c r="B15" s="7" t="n"/>
      <c r="C15" s="12" t="n"/>
      <c r="D15" s="12" t="n"/>
      <c r="E15" s="68" t="n"/>
      <c r="F15" s="73" t="n"/>
      <c r="G15" s="73" t="n"/>
      <c r="H15" s="74" t="n"/>
      <c r="I15" s="75" t="n"/>
      <c r="J15" s="76" t="n"/>
      <c r="K15" s="8" t="n"/>
      <c r="L15" s="77" t="n"/>
      <c r="M15" s="13" t="n"/>
      <c r="N15" s="27" t="n"/>
      <c r="O15" s="13" t="n"/>
      <c r="P15" s="13" t="n"/>
    </row>
    <row r="16" ht="15.6" customHeight="1">
      <c r="A16" s="11" t="n"/>
      <c r="B16" s="7" t="n"/>
      <c r="C16" s="12" t="n"/>
      <c r="D16" s="12" t="n"/>
      <c r="E16" s="68" t="n"/>
      <c r="F16" s="73" t="n"/>
      <c r="G16" s="73" t="n"/>
      <c r="H16" s="74" t="n"/>
      <c r="I16" s="75" t="n"/>
      <c r="J16" s="76" t="n"/>
      <c r="K16" s="8" t="n"/>
      <c r="L16" s="77" t="n"/>
      <c r="M16" s="13" t="n"/>
      <c r="N16" s="27" t="n"/>
      <c r="O16" s="13" t="n"/>
      <c r="P16" s="13" t="n"/>
    </row>
    <row r="17" ht="15.6" customHeight="1">
      <c r="A17" s="11" t="n"/>
      <c r="B17" s="7" t="n"/>
      <c r="C17" s="12" t="n"/>
      <c r="D17" s="12" t="n"/>
      <c r="E17" s="68" t="n"/>
      <c r="F17" s="73" t="n"/>
      <c r="G17" s="73" t="n"/>
      <c r="H17" s="74" t="n"/>
      <c r="I17" s="75" t="n"/>
      <c r="J17" s="76" t="n"/>
      <c r="K17" s="8" t="n"/>
      <c r="L17" s="77" t="n"/>
      <c r="M17" s="13" t="n"/>
      <c r="N17" s="27" t="n"/>
      <c r="O17" s="13" t="n"/>
      <c r="P17" s="13" t="n"/>
    </row>
    <row r="18" ht="15.6" customHeight="1">
      <c r="A18" s="11" t="n"/>
      <c r="B18" s="7" t="n"/>
      <c r="C18" s="12" t="n"/>
      <c r="D18" s="12" t="n"/>
      <c r="E18" s="68" t="n"/>
      <c r="F18" s="73" t="n"/>
      <c r="G18" s="73" t="n"/>
      <c r="H18" s="74" t="n"/>
      <c r="I18" s="75" t="n"/>
      <c r="J18" s="76" t="n"/>
      <c r="K18" s="8" t="n"/>
      <c r="L18" s="77" t="n"/>
      <c r="M18" s="13" t="n"/>
      <c r="N18" s="27" t="n"/>
      <c r="O18" s="13" t="n"/>
      <c r="P18" s="13" t="n"/>
    </row>
    <row r="19" ht="15.6" customHeight="1">
      <c r="A19" s="11" t="n"/>
      <c r="B19" s="7" t="n"/>
      <c r="C19" s="12" t="n"/>
      <c r="D19" s="12" t="n"/>
      <c r="E19" s="68" t="n"/>
      <c r="F19" s="73" t="n"/>
      <c r="G19" s="73" t="n"/>
      <c r="H19" s="74" t="n"/>
      <c r="I19" s="75" t="n"/>
      <c r="J19" s="76" t="n"/>
      <c r="K19" s="8" t="n"/>
      <c r="L19" s="77" t="n"/>
      <c r="M19" s="13" t="n"/>
      <c r="N19" s="27" t="n"/>
      <c r="O19" s="13" t="n"/>
      <c r="P19" s="13" t="n"/>
    </row>
    <row r="20" ht="15.6" customHeight="1">
      <c r="A20" s="11" t="n"/>
      <c r="B20" s="7" t="n"/>
      <c r="C20" s="12" t="n"/>
      <c r="D20" s="12" t="n"/>
      <c r="E20" s="68" t="n"/>
      <c r="F20" s="73" t="n"/>
      <c r="G20" s="73" t="n"/>
      <c r="H20" s="74" t="n"/>
      <c r="I20" s="75" t="n"/>
      <c r="J20" s="76" t="n"/>
      <c r="K20" s="8" t="n"/>
      <c r="L20" s="77" t="n"/>
      <c r="M20" s="13" t="n"/>
      <c r="N20" s="27" t="n"/>
      <c r="O20" s="13" t="n"/>
      <c r="P20" s="13" t="n"/>
    </row>
    <row r="21" ht="15.6" customHeight="1">
      <c r="A21" s="11" t="n"/>
      <c r="B21" s="7" t="n"/>
      <c r="C21" s="12" t="n"/>
      <c r="D21" s="12" t="n"/>
      <c r="E21" s="68" t="n"/>
      <c r="F21" s="73" t="n"/>
      <c r="G21" s="73" t="n"/>
      <c r="H21" s="74" t="n"/>
      <c r="I21" s="75" t="n"/>
      <c r="J21" s="76" t="n"/>
      <c r="K21" s="8" t="n"/>
      <c r="L21" s="77" t="n"/>
      <c r="M21" s="13" t="n"/>
      <c r="N21" s="27" t="n"/>
      <c r="O21" s="13" t="n"/>
      <c r="P21" s="13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G5" sqref="G5"/>
    </sheetView>
  </sheetViews>
  <sheetFormatPr baseColWidth="8" defaultRowHeight="14.4"/>
  <cols>
    <col width="38.109375" customWidth="1" min="2" max="2"/>
    <col width="13.109375" customWidth="1" min="3" max="3"/>
    <col width="15.33203125" customWidth="1" min="4" max="4"/>
  </cols>
  <sheetData>
    <row r="1" ht="23.4" customHeight="1">
      <c r="A1" s="22" t="n"/>
      <c r="B1" s="23" t="inlineStr">
        <is>
          <t>Shaileshbhai Prajapati</t>
        </is>
      </c>
      <c r="C1" s="23" t="inlineStr">
        <is>
          <t>Extra Staff Diwali-26</t>
        </is>
      </c>
      <c r="D1" s="23" t="n"/>
      <c r="E1" s="24" t="n"/>
      <c r="F1" s="22" t="n"/>
      <c r="G1" s="22" t="n"/>
      <c r="H1" s="22" t="n"/>
      <c r="I1" s="22" t="n"/>
      <c r="J1" s="67" t="n"/>
      <c r="K1" s="22" t="n"/>
      <c r="L1" s="22" t="n"/>
      <c r="M1" s="25" t="n"/>
      <c r="N1" s="25" t="n"/>
      <c r="O1" s="38" t="n"/>
      <c r="P1" s="38" t="n"/>
    </row>
    <row r="2" ht="32.4" customHeight="1">
      <c r="A2" s="14" t="inlineStr">
        <is>
          <t>No.</t>
        </is>
      </c>
      <c r="B2" s="15" t="inlineStr">
        <is>
          <t>Staff Name</t>
        </is>
      </c>
      <c r="C2" s="63" t="inlineStr">
        <is>
          <t>Designation</t>
        </is>
      </c>
      <c r="D2" s="63" t="inlineStr">
        <is>
          <t>Loctation</t>
        </is>
      </c>
      <c r="E2" s="68" t="inlineStr">
        <is>
          <t>Staff</t>
        </is>
      </c>
      <c r="F2" s="69" t="inlineStr">
        <is>
          <t>Sept Present</t>
        </is>
      </c>
      <c r="G2" s="69" t="inlineStr">
        <is>
          <t>Octo Present</t>
        </is>
      </c>
      <c r="H2" s="69" t="inlineStr">
        <is>
          <t>Total Present</t>
        </is>
      </c>
      <c r="I2" s="17" t="inlineStr">
        <is>
          <t>Per Day Pay</t>
        </is>
      </c>
      <c r="J2" s="70" t="inlineStr">
        <is>
          <t>Net Pay</t>
        </is>
      </c>
      <c r="K2" s="18" t="inlineStr">
        <is>
          <t>2026 Per Day</t>
        </is>
      </c>
      <c r="L2" s="71" t="inlineStr">
        <is>
          <t>Sweet Kg.</t>
        </is>
      </c>
      <c r="M2" s="71" t="inlineStr">
        <is>
          <t>Aadhar</t>
        </is>
      </c>
      <c r="N2" s="72" t="inlineStr">
        <is>
          <t>Mobile</t>
        </is>
      </c>
      <c r="O2" s="71" t="inlineStr">
        <is>
          <t>From Date</t>
        </is>
      </c>
      <c r="P2" s="71" t="inlineStr">
        <is>
          <t>To Date</t>
        </is>
      </c>
      <c r="Q2" t="inlineStr">
        <is>
          <t>App ID</t>
        </is>
      </c>
      <c r="R2" t="inlineStr">
        <is>
          <t>Employment Status</t>
        </is>
      </c>
      <c r="S2" t="inlineStr">
        <is>
          <t>Departure Date</t>
        </is>
      </c>
      <c r="T2" t="inlineStr">
        <is>
          <t>Departure Reason</t>
        </is>
      </c>
      <c r="U2" t="inlineStr">
        <is>
          <t>Status Verified</t>
        </is>
      </c>
    </row>
    <row r="3" ht="15.6" customHeight="1">
      <c r="A3" s="11">
        <f>ROW()-ROW($A$2)</f>
        <v/>
      </c>
      <c r="B3" s="12" t="inlineStr">
        <is>
          <t>Krish Bharatbhai Lakhvara</t>
        </is>
      </c>
      <c r="C3" s="12" t="n"/>
      <c r="D3" s="12" t="inlineStr">
        <is>
          <t>Aashram Road</t>
        </is>
      </c>
      <c r="E3" s="68" t="n">
        <v>1</v>
      </c>
      <c r="F3" s="73" t="n">
        <v>0</v>
      </c>
      <c r="G3" s="73" t="n">
        <v>6</v>
      </c>
      <c r="H3" s="74">
        <f>SUM(F3:G3)</f>
        <v/>
      </c>
      <c r="I3" s="75" t="n">
        <v>100</v>
      </c>
      <c r="J3" s="76">
        <f>SUM(H3*I3)</f>
        <v/>
      </c>
      <c r="K3" s="21" t="n"/>
      <c r="L3" s="77" t="n"/>
      <c r="M3" s="13" t="n"/>
      <c r="N3" s="27" t="n"/>
      <c r="O3" s="13" t="n"/>
      <c r="P3" s="13" t="n"/>
      <c r="Q3" t="inlineStr">
        <is>
          <t>EMP-4D911571</t>
        </is>
      </c>
      <c r="R3" t="inlineStr">
        <is>
          <t>Active</t>
        </is>
      </c>
    </row>
    <row r="4" ht="15.6" customHeight="1">
      <c r="A4" s="11">
        <f>ROW()-ROW($A$2)</f>
        <v/>
      </c>
      <c r="B4" s="12" t="inlineStr">
        <is>
          <t>Vishal Bharatbhai Lakhvara</t>
        </is>
      </c>
      <c r="C4" s="12" t="n"/>
      <c r="D4" s="12" t="inlineStr">
        <is>
          <t>Aashram Road</t>
        </is>
      </c>
      <c r="E4" s="68" t="n">
        <v>1</v>
      </c>
      <c r="F4" s="73" t="n">
        <v>0</v>
      </c>
      <c r="G4" s="73" t="n">
        <v>6</v>
      </c>
      <c r="H4" s="74">
        <f>SUM(F4:G4)</f>
        <v/>
      </c>
      <c r="I4" s="75" t="n"/>
      <c r="J4" s="76">
        <f>SUM(H4*I4)</f>
        <v/>
      </c>
      <c r="K4" s="5" t="n"/>
      <c r="L4" s="78" t="n"/>
      <c r="M4" s="13" t="n"/>
      <c r="N4" s="27" t="n"/>
      <c r="O4" s="13" t="n"/>
      <c r="P4" s="13" t="n"/>
      <c r="Q4" t="inlineStr">
        <is>
          <t>EMP-7ECF9813</t>
        </is>
      </c>
      <c r="R4" t="inlineStr">
        <is>
          <t>Active</t>
        </is>
      </c>
    </row>
    <row r="5" ht="15.6" customHeight="1">
      <c r="A5" s="11" t="n"/>
      <c r="B5" s="7" t="n"/>
      <c r="C5" s="12" t="n"/>
      <c r="D5" s="12" t="n"/>
      <c r="E5" s="68" t="n"/>
      <c r="F5" s="73" t="n"/>
      <c r="G5" s="73" t="n"/>
      <c r="H5" s="74" t="n"/>
      <c r="I5" s="75" t="n"/>
      <c r="J5" s="76" t="n"/>
      <c r="K5" s="8" t="n"/>
      <c r="L5" s="77" t="n"/>
      <c r="M5" s="13" t="n"/>
      <c r="N5" s="27" t="n"/>
      <c r="O5" s="13" t="n"/>
      <c r="P5" s="13" t="n"/>
    </row>
    <row r="6" ht="15.6" customHeight="1">
      <c r="A6" s="11" t="n"/>
      <c r="B6" s="7" t="n"/>
      <c r="C6" s="12" t="n"/>
      <c r="D6" s="12" t="n"/>
      <c r="E6" s="68" t="n"/>
      <c r="F6" s="73" t="n"/>
      <c r="G6" s="73" t="n"/>
      <c r="H6" s="74" t="n"/>
      <c r="I6" s="75" t="n"/>
      <c r="J6" s="76" t="n"/>
      <c r="K6" s="8" t="n"/>
      <c r="L6" s="77" t="n"/>
      <c r="M6" s="13" t="n"/>
      <c r="N6" s="27" t="n"/>
      <c r="O6" s="13" t="n"/>
      <c r="P6" s="13" t="n"/>
    </row>
    <row r="7" ht="15.6" customHeight="1">
      <c r="A7" s="11" t="n"/>
      <c r="B7" s="7" t="n"/>
      <c r="C7" s="12" t="n"/>
      <c r="D7" s="12" t="n"/>
      <c r="E7" s="68" t="n"/>
      <c r="F7" s="73" t="n"/>
      <c r="G7" s="73" t="n"/>
      <c r="H7" s="74" t="n"/>
      <c r="I7" s="75" t="n"/>
      <c r="J7" s="76" t="n"/>
      <c r="K7" s="8" t="n"/>
      <c r="L7" s="77" t="n"/>
      <c r="M7" s="13" t="n"/>
      <c r="N7" s="27" t="n"/>
      <c r="O7" s="13" t="n"/>
      <c r="P7" s="13" t="n"/>
    </row>
    <row r="8" ht="15.6" customHeight="1">
      <c r="A8" s="11" t="n"/>
      <c r="B8" s="7" t="n"/>
      <c r="C8" s="12" t="n"/>
      <c r="D8" s="12" t="n"/>
      <c r="E8" s="68" t="n"/>
      <c r="F8" s="73" t="n"/>
      <c r="G8" s="73" t="n"/>
      <c r="H8" s="74" t="n"/>
      <c r="I8" s="75" t="n"/>
      <c r="J8" s="76" t="n"/>
      <c r="K8" s="8" t="n"/>
      <c r="L8" s="77" t="n"/>
      <c r="M8" s="13" t="n"/>
      <c r="N8" s="27" t="n"/>
      <c r="O8" s="13" t="n"/>
      <c r="P8" s="13" t="n"/>
    </row>
    <row r="9" ht="15.6" customHeight="1">
      <c r="A9" s="11" t="n"/>
      <c r="B9" s="7" t="n"/>
      <c r="C9" s="12" t="n"/>
      <c r="D9" s="12" t="n"/>
      <c r="E9" s="68" t="n"/>
      <c r="F9" s="73" t="n"/>
      <c r="G9" s="73" t="n"/>
      <c r="H9" s="74" t="n"/>
      <c r="I9" s="75" t="n"/>
      <c r="J9" s="76" t="n"/>
      <c r="K9" s="8" t="n"/>
      <c r="L9" s="77" t="n"/>
      <c r="M9" s="13" t="n"/>
      <c r="N9" s="27" t="n"/>
      <c r="O9" s="13" t="n"/>
      <c r="P9" s="13" t="n"/>
    </row>
    <row r="10" ht="15.6" customHeight="1">
      <c r="A10" s="11" t="n"/>
      <c r="B10" s="7" t="n"/>
      <c r="C10" s="12" t="n"/>
      <c r="D10" s="12" t="n"/>
      <c r="E10" s="68" t="n"/>
      <c r="F10" s="73" t="n"/>
      <c r="G10" s="73" t="n"/>
      <c r="H10" s="74" t="n"/>
      <c r="I10" s="75" t="n"/>
      <c r="J10" s="76" t="n"/>
      <c r="K10" s="8" t="n"/>
      <c r="L10" s="77" t="n"/>
      <c r="M10" s="13" t="n"/>
      <c r="N10" s="27" t="n"/>
      <c r="O10" s="13" t="n"/>
      <c r="P10" s="13" t="n"/>
    </row>
    <row r="11" ht="15.6" customHeight="1">
      <c r="A11" s="11" t="n"/>
      <c r="B11" s="7" t="n"/>
      <c r="C11" s="12" t="n"/>
      <c r="D11" s="12" t="n"/>
      <c r="E11" s="68" t="n"/>
      <c r="F11" s="73" t="n"/>
      <c r="G11" s="73" t="n"/>
      <c r="H11" s="74" t="n"/>
      <c r="I11" s="75" t="n"/>
      <c r="J11" s="76" t="n"/>
      <c r="K11" s="8" t="n"/>
      <c r="L11" s="77" t="n"/>
      <c r="M11" s="13" t="n"/>
      <c r="N11" s="27" t="n"/>
      <c r="O11" s="13" t="n"/>
      <c r="P11" s="13" t="n"/>
    </row>
    <row r="12" ht="15.6" customHeight="1">
      <c r="A12" s="11" t="n"/>
      <c r="B12" s="7" t="n"/>
      <c r="C12" s="12" t="n"/>
      <c r="D12" s="12" t="n"/>
      <c r="E12" s="68" t="n"/>
      <c r="F12" s="73" t="n"/>
      <c r="G12" s="73" t="n"/>
      <c r="H12" s="74" t="n"/>
      <c r="I12" s="75" t="n"/>
      <c r="J12" s="76" t="n"/>
      <c r="K12" s="8" t="n"/>
      <c r="L12" s="77" t="n"/>
      <c r="M12" s="13" t="n"/>
      <c r="N12" s="27" t="n"/>
      <c r="O12" s="13" t="n"/>
      <c r="P12" s="13" t="n"/>
    </row>
    <row r="13" ht="15.6" customHeight="1">
      <c r="A13" s="11" t="n"/>
      <c r="B13" s="7" t="n"/>
      <c r="C13" s="12" t="n"/>
      <c r="D13" s="12" t="n"/>
      <c r="E13" s="68" t="n"/>
      <c r="F13" s="73" t="n"/>
      <c r="G13" s="73" t="n"/>
      <c r="H13" s="74" t="n"/>
      <c r="I13" s="75" t="n"/>
      <c r="J13" s="76" t="n"/>
      <c r="K13" s="8" t="n"/>
      <c r="L13" s="77" t="n"/>
      <c r="M13" s="13" t="n"/>
      <c r="N13" s="27" t="n"/>
      <c r="O13" s="13" t="n"/>
      <c r="P13" s="13" t="n"/>
    </row>
    <row r="14" ht="15.6" customHeight="1">
      <c r="A14" s="11" t="n"/>
      <c r="B14" s="7" t="n"/>
      <c r="C14" s="12" t="n"/>
      <c r="D14" s="12" t="n"/>
      <c r="E14" s="68" t="n"/>
      <c r="F14" s="73" t="n"/>
      <c r="G14" s="73" t="n"/>
      <c r="H14" s="74" t="n"/>
      <c r="I14" s="75" t="n"/>
      <c r="J14" s="76" t="n"/>
      <c r="K14" s="8" t="n"/>
      <c r="L14" s="77" t="n"/>
      <c r="M14" s="13" t="n"/>
      <c r="N14" s="27" t="n"/>
      <c r="O14" s="13" t="n"/>
      <c r="P14" s="13" t="n"/>
    </row>
    <row r="15" ht="15.6" customHeight="1">
      <c r="A15" s="11" t="n"/>
      <c r="B15" s="7" t="n"/>
      <c r="C15" s="12" t="n"/>
      <c r="D15" s="12" t="n"/>
      <c r="E15" s="68" t="n"/>
      <c r="F15" s="73" t="n"/>
      <c r="G15" s="73" t="n"/>
      <c r="H15" s="74" t="n"/>
      <c r="I15" s="75" t="n"/>
      <c r="J15" s="76" t="n"/>
      <c r="K15" s="8" t="n"/>
      <c r="L15" s="77" t="n"/>
      <c r="M15" s="13" t="n"/>
      <c r="N15" s="27" t="n"/>
      <c r="O15" s="13" t="n"/>
      <c r="P15" s="13" t="n"/>
    </row>
    <row r="16" ht="15.6" customHeight="1">
      <c r="A16" s="11" t="n"/>
      <c r="B16" s="7" t="n"/>
      <c r="C16" s="12" t="n"/>
      <c r="D16" s="12" t="n"/>
      <c r="E16" s="68" t="n"/>
      <c r="F16" s="73" t="n"/>
      <c r="G16" s="73" t="n"/>
      <c r="H16" s="74" t="n"/>
      <c r="I16" s="75" t="n"/>
      <c r="J16" s="76" t="n"/>
      <c r="K16" s="8" t="n"/>
      <c r="L16" s="77" t="n"/>
      <c r="M16" s="13" t="n"/>
      <c r="N16" s="27" t="n"/>
      <c r="O16" s="13" t="n"/>
      <c r="P16" s="13" t="n"/>
    </row>
    <row r="17" ht="15.6" customHeight="1">
      <c r="A17" s="11" t="n"/>
      <c r="B17" s="7" t="n"/>
      <c r="C17" s="12" t="n"/>
      <c r="D17" s="12" t="n"/>
      <c r="E17" s="68" t="n"/>
      <c r="F17" s="73" t="n"/>
      <c r="G17" s="73" t="n"/>
      <c r="H17" s="74" t="n"/>
      <c r="I17" s="75" t="n"/>
      <c r="J17" s="76" t="n"/>
      <c r="K17" s="8" t="n"/>
      <c r="L17" s="77" t="n"/>
      <c r="M17" s="13" t="n"/>
      <c r="N17" s="27" t="n"/>
      <c r="O17" s="13" t="n"/>
      <c r="P17" s="13" t="n"/>
    </row>
    <row r="18" ht="15.6" customHeight="1">
      <c r="A18" s="11" t="n"/>
      <c r="B18" s="7" t="n"/>
      <c r="C18" s="12" t="n"/>
      <c r="D18" s="12" t="n"/>
      <c r="E18" s="68" t="n"/>
      <c r="F18" s="73" t="n"/>
      <c r="G18" s="73" t="n"/>
      <c r="H18" s="74" t="n"/>
      <c r="I18" s="75" t="n"/>
      <c r="J18" s="76" t="n"/>
      <c r="K18" s="8" t="n"/>
      <c r="L18" s="77" t="n"/>
      <c r="M18" s="13" t="n"/>
      <c r="N18" s="27" t="n"/>
      <c r="O18" s="13" t="n"/>
      <c r="P18" s="13" t="n"/>
    </row>
    <row r="19" ht="15.6" customHeight="1">
      <c r="A19" s="11" t="n"/>
      <c r="B19" s="7" t="n"/>
      <c r="C19" s="12" t="n"/>
      <c r="D19" s="12" t="n"/>
      <c r="E19" s="68" t="n"/>
      <c r="F19" s="73" t="n"/>
      <c r="G19" s="73" t="n"/>
      <c r="H19" s="74" t="n"/>
      <c r="I19" s="75" t="n"/>
      <c r="J19" s="76" t="n"/>
      <c r="K19" s="8" t="n"/>
      <c r="L19" s="77" t="n"/>
      <c r="M19" s="13" t="n"/>
      <c r="N19" s="27" t="n"/>
      <c r="O19" s="13" t="n"/>
      <c r="P19" s="13" t="n"/>
    </row>
    <row r="20" ht="15.6" customHeight="1">
      <c r="A20" s="11" t="n"/>
      <c r="B20" s="7" t="n"/>
      <c r="C20" s="12" t="n"/>
      <c r="D20" s="12" t="n"/>
      <c r="E20" s="68" t="n"/>
      <c r="F20" s="73" t="n"/>
      <c r="G20" s="73" t="n"/>
      <c r="H20" s="74" t="n"/>
      <c r="I20" s="75" t="n"/>
      <c r="J20" s="76" t="n"/>
      <c r="K20" s="8" t="n"/>
      <c r="L20" s="77" t="n"/>
      <c r="M20" s="13" t="n"/>
      <c r="N20" s="27" t="n"/>
      <c r="O20" s="13" t="n"/>
      <c r="P20" s="13" t="n"/>
    </row>
    <row r="21" ht="15.6" customHeight="1">
      <c r="A21" s="11" t="n"/>
      <c r="B21" s="7" t="n"/>
      <c r="C21" s="12" t="n"/>
      <c r="D21" s="12" t="n"/>
      <c r="E21" s="68" t="n"/>
      <c r="F21" s="73" t="n"/>
      <c r="G21" s="73" t="n"/>
      <c r="H21" s="74" t="n"/>
      <c r="I21" s="75" t="n"/>
      <c r="J21" s="76" t="n"/>
      <c r="K21" s="8" t="n"/>
      <c r="L21" s="77" t="n"/>
      <c r="M21" s="13" t="n"/>
      <c r="N21" s="27" t="n"/>
      <c r="O21" s="13" t="n"/>
      <c r="P21" s="13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F8" sqref="F8"/>
    </sheetView>
  </sheetViews>
  <sheetFormatPr baseColWidth="8" defaultRowHeight="14.4"/>
  <cols>
    <col width="38.109375" customWidth="1" min="2" max="2"/>
    <col width="13.109375" customWidth="1" min="3" max="3"/>
    <col width="15.33203125" customWidth="1" min="4" max="4"/>
  </cols>
  <sheetData>
    <row r="1" ht="23.4" customHeight="1">
      <c r="A1" s="22" t="n"/>
      <c r="B1" s="23" t="inlineStr">
        <is>
          <t>Dharmendrabhai</t>
        </is>
      </c>
      <c r="C1" s="23" t="inlineStr">
        <is>
          <t>Extra Staff Diwali-26</t>
        </is>
      </c>
      <c r="D1" s="23" t="n"/>
      <c r="E1" s="24" t="n"/>
      <c r="F1" s="22" t="n"/>
      <c r="G1" s="22" t="n"/>
      <c r="H1" s="22" t="n"/>
      <c r="I1" s="22" t="n"/>
      <c r="J1" s="67" t="n"/>
      <c r="K1" s="22" t="n"/>
      <c r="L1" s="22" t="n"/>
      <c r="M1" s="25" t="n"/>
      <c r="N1" s="25" t="n"/>
      <c r="O1" s="38" t="n"/>
      <c r="P1" s="38" t="n"/>
    </row>
    <row r="2" ht="32.4" customHeight="1">
      <c r="A2" s="14" t="inlineStr">
        <is>
          <t>No.</t>
        </is>
      </c>
      <c r="B2" s="15" t="inlineStr">
        <is>
          <t>Staff Name</t>
        </is>
      </c>
      <c r="C2" s="63" t="inlineStr">
        <is>
          <t>Designation</t>
        </is>
      </c>
      <c r="D2" s="63" t="inlineStr">
        <is>
          <t>Loctation</t>
        </is>
      </c>
      <c r="E2" s="68" t="inlineStr">
        <is>
          <t>Staff</t>
        </is>
      </c>
      <c r="F2" s="69" t="inlineStr">
        <is>
          <t>Sept Present</t>
        </is>
      </c>
      <c r="G2" s="69" t="inlineStr">
        <is>
          <t>Octo Present</t>
        </is>
      </c>
      <c r="H2" s="69" t="inlineStr">
        <is>
          <t>Total Present</t>
        </is>
      </c>
      <c r="I2" s="17" t="inlineStr">
        <is>
          <t>Per Day Pay</t>
        </is>
      </c>
      <c r="J2" s="70" t="inlineStr">
        <is>
          <t>Net Pay</t>
        </is>
      </c>
      <c r="K2" s="18" t="inlineStr">
        <is>
          <t>2026 Per Day</t>
        </is>
      </c>
      <c r="L2" s="71" t="inlineStr">
        <is>
          <t>Sweet Kg.</t>
        </is>
      </c>
      <c r="M2" s="71" t="inlineStr">
        <is>
          <t>Aadhar</t>
        </is>
      </c>
      <c r="N2" s="72" t="inlineStr">
        <is>
          <t>Mobile</t>
        </is>
      </c>
      <c r="O2" s="71" t="inlineStr">
        <is>
          <t>From Date</t>
        </is>
      </c>
      <c r="P2" s="71" t="inlineStr">
        <is>
          <t>To Date</t>
        </is>
      </c>
      <c r="Q2" t="inlineStr">
        <is>
          <t>App ID</t>
        </is>
      </c>
      <c r="R2" t="inlineStr">
        <is>
          <t>Employment Status</t>
        </is>
      </c>
      <c r="S2" t="inlineStr">
        <is>
          <t>Departure Date</t>
        </is>
      </c>
      <c r="T2" t="inlineStr">
        <is>
          <t>Departure Reason</t>
        </is>
      </c>
      <c r="U2" t="inlineStr">
        <is>
          <t>Status Verified</t>
        </is>
      </c>
    </row>
    <row r="3" ht="15.6" customHeight="1">
      <c r="A3" s="11">
        <f>ROW()-ROW($A$2)</f>
        <v/>
      </c>
      <c r="B3" s="12" t="inlineStr">
        <is>
          <t>Lalabhai Sakalbhai Nayak</t>
        </is>
      </c>
      <c r="C3" s="12" t="inlineStr">
        <is>
          <t>Ferawala</t>
        </is>
      </c>
      <c r="D3" s="12" t="inlineStr">
        <is>
          <t>Aashram Road</t>
        </is>
      </c>
      <c r="E3" s="68" t="n">
        <v>1</v>
      </c>
      <c r="F3" s="73" t="n"/>
      <c r="G3" s="73" t="n">
        <v>3</v>
      </c>
      <c r="H3" s="74">
        <f>SUM(F3:G3)</f>
        <v/>
      </c>
      <c r="I3" s="75" t="n">
        <v>100</v>
      </c>
      <c r="J3" s="76">
        <f>SUM(H3*I3)</f>
        <v/>
      </c>
      <c r="K3" s="21" t="n"/>
      <c r="L3" s="77" t="n"/>
      <c r="M3" s="13" t="n"/>
      <c r="N3" s="27" t="n"/>
      <c r="O3" s="13" t="n"/>
      <c r="P3" s="13" t="n"/>
      <c r="Q3" t="inlineStr">
        <is>
          <t>EMP-B5484F58</t>
        </is>
      </c>
      <c r="R3" t="inlineStr">
        <is>
          <t>Active</t>
        </is>
      </c>
    </row>
    <row r="4" ht="15.6" customHeight="1">
      <c r="A4" s="11">
        <f>ROW()-ROW($A$2)</f>
        <v/>
      </c>
      <c r="B4" s="12" t="inlineStr">
        <is>
          <t>Vikrambhai Ramabhai Nayak</t>
        </is>
      </c>
      <c r="C4" s="12" t="inlineStr">
        <is>
          <t>Ferawala</t>
        </is>
      </c>
      <c r="D4" s="12" t="inlineStr">
        <is>
          <t>Aashram Road</t>
        </is>
      </c>
      <c r="E4" s="68" t="n">
        <v>1</v>
      </c>
      <c r="F4" s="73" t="n"/>
      <c r="G4" s="73" t="n">
        <v>3</v>
      </c>
      <c r="H4" s="74">
        <f>SUM(F4:G4)</f>
        <v/>
      </c>
      <c r="I4" s="75" t="n"/>
      <c r="J4" s="76">
        <f>SUM(H4*I4)</f>
        <v/>
      </c>
      <c r="K4" s="5" t="n"/>
      <c r="L4" s="78" t="n"/>
      <c r="M4" s="13" t="n"/>
      <c r="N4" s="27" t="n"/>
      <c r="O4" s="13" t="n"/>
      <c r="P4" s="13" t="n"/>
      <c r="Q4" t="inlineStr">
        <is>
          <t>EMP-AA98B470</t>
        </is>
      </c>
      <c r="R4" t="inlineStr">
        <is>
          <t>Active</t>
        </is>
      </c>
    </row>
    <row r="5" ht="15.6" customHeight="1">
      <c r="A5" s="11">
        <f>ROW()-ROW($A$2)</f>
        <v/>
      </c>
      <c r="B5" s="12" t="inlineStr">
        <is>
          <t>Natvarbhai Sakalbhai Nayak</t>
        </is>
      </c>
      <c r="C5" s="12" t="inlineStr">
        <is>
          <t>Ferawala</t>
        </is>
      </c>
      <c r="D5" s="12" t="inlineStr">
        <is>
          <t>Aashram Road</t>
        </is>
      </c>
      <c r="E5" s="68" t="n">
        <v>1</v>
      </c>
      <c r="F5" s="73" t="n"/>
      <c r="G5" s="73" t="n">
        <v>3</v>
      </c>
      <c r="H5" s="74">
        <f>SUM(F5:G5)</f>
        <v/>
      </c>
      <c r="I5" s="75" t="n"/>
      <c r="J5" s="76">
        <f>SUM(H5*I5)</f>
        <v/>
      </c>
      <c r="K5" s="5" t="n"/>
      <c r="L5" s="78" t="n"/>
      <c r="M5" s="13" t="n"/>
      <c r="N5" s="27" t="n"/>
      <c r="O5" s="13" t="n"/>
      <c r="P5" s="13" t="n"/>
      <c r="Q5" t="inlineStr">
        <is>
          <t>EMP-CA371C71</t>
        </is>
      </c>
      <c r="R5" t="inlineStr">
        <is>
          <t>Active</t>
        </is>
      </c>
    </row>
    <row r="6" ht="15.6" customHeight="1">
      <c r="A6" s="11">
        <f>ROW()-ROW($A$2)</f>
        <v/>
      </c>
      <c r="B6" s="12" t="inlineStr">
        <is>
          <t>Umedbhai Rangitbhai Bariya</t>
        </is>
      </c>
      <c r="C6" s="12" t="inlineStr">
        <is>
          <t>Ferawala</t>
        </is>
      </c>
      <c r="D6" s="12" t="inlineStr">
        <is>
          <t>Aashram Road</t>
        </is>
      </c>
      <c r="E6" s="68" t="n">
        <v>1</v>
      </c>
      <c r="F6" s="73" t="n"/>
      <c r="G6" s="73" t="n">
        <v>3</v>
      </c>
      <c r="H6" s="74">
        <f>SUM(F6:G6)</f>
        <v/>
      </c>
      <c r="I6" s="75" t="n"/>
      <c r="J6" s="76">
        <f>SUM(H6*I6)</f>
        <v/>
      </c>
      <c r="K6" s="5" t="n"/>
      <c r="L6" s="78" t="n"/>
      <c r="M6" s="13" t="n"/>
      <c r="N6" s="27" t="n"/>
      <c r="O6" s="13" t="n"/>
      <c r="P6" s="13" t="n"/>
      <c r="Q6" t="inlineStr">
        <is>
          <t>EMP-4D42BE19</t>
        </is>
      </c>
      <c r="R6" t="inlineStr">
        <is>
          <t>Active</t>
        </is>
      </c>
    </row>
    <row r="7" ht="15.6" customHeight="1">
      <c r="A7" s="11">
        <f>ROW()-ROW($A$2)</f>
        <v/>
      </c>
      <c r="B7" s="12" t="inlineStr">
        <is>
          <t>Rameshbhai Hursingh Nayak</t>
        </is>
      </c>
      <c r="C7" s="12" t="inlineStr">
        <is>
          <t>Ferawala</t>
        </is>
      </c>
      <c r="D7" s="12" t="inlineStr">
        <is>
          <t>Aashram Road</t>
        </is>
      </c>
      <c r="E7" s="68" t="n">
        <v>1</v>
      </c>
      <c r="F7" s="73" t="n"/>
      <c r="G7" s="73" t="n">
        <v>3</v>
      </c>
      <c r="H7" s="74">
        <f>SUM(F7:G7)</f>
        <v/>
      </c>
      <c r="I7" s="75" t="n"/>
      <c r="J7" s="76">
        <f>SUM(H7*I7)</f>
        <v/>
      </c>
      <c r="K7" s="5" t="n"/>
      <c r="L7" s="78" t="n"/>
      <c r="M7" s="13" t="n"/>
      <c r="N7" s="27" t="n"/>
      <c r="O7" s="13" t="n"/>
      <c r="P7" s="13" t="n"/>
      <c r="Q7" t="inlineStr">
        <is>
          <t>EMP-CFF4CFF2</t>
        </is>
      </c>
      <c r="R7" t="inlineStr">
        <is>
          <t>Active</t>
        </is>
      </c>
    </row>
    <row r="8" ht="15.6" customHeight="1">
      <c r="A8" s="11" t="n"/>
      <c r="B8" s="12" t="n"/>
      <c r="C8" s="12" t="n"/>
      <c r="D8" s="12" t="n"/>
      <c r="E8" s="68" t="n"/>
      <c r="F8" s="73" t="n"/>
      <c r="G8" s="73" t="n"/>
      <c r="H8" s="74" t="n"/>
      <c r="I8" s="75" t="n"/>
      <c r="J8" s="76" t="n"/>
      <c r="K8" s="5" t="n"/>
      <c r="L8" s="78" t="n"/>
      <c r="M8" s="13" t="n"/>
      <c r="N8" s="27" t="n"/>
      <c r="O8" s="13" t="n"/>
      <c r="P8" s="13" t="n"/>
    </row>
    <row r="9" ht="15.6" customHeight="1">
      <c r="A9" s="11" t="n"/>
      <c r="B9" s="12" t="n"/>
      <c r="C9" s="12" t="n"/>
      <c r="D9" s="12" t="n"/>
      <c r="E9" s="68" t="n"/>
      <c r="F9" s="73" t="n"/>
      <c r="G9" s="73" t="n"/>
      <c r="H9" s="74" t="n"/>
      <c r="I9" s="75" t="n"/>
      <c r="J9" s="76" t="n"/>
      <c r="K9" s="5" t="n"/>
      <c r="L9" s="78" t="n"/>
      <c r="M9" s="13" t="n"/>
      <c r="N9" s="27" t="n"/>
      <c r="O9" s="13" t="n"/>
      <c r="P9" s="13" t="n"/>
    </row>
    <row r="10" ht="15.6" customHeight="1">
      <c r="A10" s="11" t="n"/>
      <c r="B10" s="7" t="n"/>
      <c r="C10" s="12" t="n"/>
      <c r="D10" s="12" t="n"/>
      <c r="E10" s="68" t="n"/>
      <c r="F10" s="73" t="n"/>
      <c r="G10" s="73" t="n"/>
      <c r="H10" s="74" t="n"/>
      <c r="I10" s="75" t="n"/>
      <c r="J10" s="76" t="n"/>
      <c r="K10" s="8" t="n"/>
      <c r="L10" s="77" t="n"/>
      <c r="M10" s="13" t="n"/>
      <c r="N10" s="27" t="n"/>
      <c r="O10" s="13" t="n"/>
      <c r="P10" s="13" t="n"/>
    </row>
    <row r="11" ht="15.6" customHeight="1">
      <c r="A11" s="11" t="n"/>
      <c r="B11" s="7" t="n"/>
      <c r="C11" s="12" t="n"/>
      <c r="D11" s="12" t="n"/>
      <c r="E11" s="68" t="n"/>
      <c r="F11" s="73" t="n"/>
      <c r="G11" s="73" t="n"/>
      <c r="H11" s="74" t="n"/>
      <c r="I11" s="75" t="n"/>
      <c r="J11" s="76" t="n"/>
      <c r="K11" s="8" t="n"/>
      <c r="L11" s="77" t="n"/>
      <c r="M11" s="13" t="n"/>
      <c r="N11" s="27" t="n"/>
      <c r="O11" s="13" t="n"/>
      <c r="P11" s="13" t="n"/>
    </row>
    <row r="12" ht="15.6" customHeight="1">
      <c r="A12" s="11" t="n"/>
      <c r="B12" s="7" t="n"/>
      <c r="C12" s="12" t="n"/>
      <c r="D12" s="12" t="n"/>
      <c r="E12" s="68" t="n"/>
      <c r="F12" s="73" t="n"/>
      <c r="G12" s="73" t="n"/>
      <c r="H12" s="74" t="n"/>
      <c r="I12" s="75" t="n"/>
      <c r="J12" s="76" t="n"/>
      <c r="K12" s="8" t="n"/>
      <c r="L12" s="77" t="n"/>
      <c r="M12" s="13" t="n"/>
      <c r="N12" s="27" t="n"/>
      <c r="O12" s="13" t="n"/>
      <c r="P12" s="13" t="n"/>
    </row>
    <row r="13" ht="15.6" customHeight="1">
      <c r="A13" s="11" t="n"/>
      <c r="B13" s="7" t="n"/>
      <c r="C13" s="12" t="n"/>
      <c r="D13" s="12" t="n"/>
      <c r="E13" s="68" t="n"/>
      <c r="F13" s="73" t="n"/>
      <c r="G13" s="73" t="n"/>
      <c r="H13" s="74" t="n"/>
      <c r="I13" s="75" t="n"/>
      <c r="J13" s="76" t="n"/>
      <c r="K13" s="8" t="n"/>
      <c r="L13" s="77" t="n"/>
      <c r="M13" s="13" t="n"/>
      <c r="N13" s="27" t="n"/>
      <c r="O13" s="13" t="n"/>
      <c r="P13" s="13" t="n"/>
    </row>
    <row r="14" ht="15.6" customHeight="1">
      <c r="A14" s="11" t="n"/>
      <c r="B14" s="7" t="n"/>
      <c r="C14" s="12" t="n"/>
      <c r="D14" s="12" t="n"/>
      <c r="E14" s="68" t="n"/>
      <c r="F14" s="73" t="n"/>
      <c r="G14" s="73" t="n"/>
      <c r="H14" s="74" t="n"/>
      <c r="I14" s="75" t="n"/>
      <c r="J14" s="76" t="n"/>
      <c r="K14" s="8" t="n"/>
      <c r="L14" s="77" t="n"/>
      <c r="M14" s="13" t="n"/>
      <c r="N14" s="27" t="n"/>
      <c r="O14" s="13" t="n"/>
      <c r="P14" s="13" t="n"/>
    </row>
    <row r="15" ht="15.6" customHeight="1">
      <c r="A15" s="11" t="n"/>
      <c r="B15" s="7" t="n"/>
      <c r="C15" s="12" t="n"/>
      <c r="D15" s="12" t="n"/>
      <c r="E15" s="68" t="n"/>
      <c r="F15" s="73" t="n"/>
      <c r="G15" s="73" t="n"/>
      <c r="H15" s="74" t="n"/>
      <c r="I15" s="75" t="n"/>
      <c r="J15" s="76" t="n"/>
      <c r="K15" s="8" t="n"/>
      <c r="L15" s="77" t="n"/>
      <c r="M15" s="13" t="n"/>
      <c r="N15" s="27" t="n"/>
      <c r="O15" s="13" t="n"/>
      <c r="P15" s="13" t="n"/>
    </row>
    <row r="16" ht="15.6" customHeight="1">
      <c r="A16" s="11" t="n"/>
      <c r="B16" s="7" t="n"/>
      <c r="C16" s="12" t="n"/>
      <c r="D16" s="12" t="n"/>
      <c r="E16" s="68" t="n"/>
      <c r="F16" s="73" t="n"/>
      <c r="G16" s="73" t="n"/>
      <c r="H16" s="74" t="n"/>
      <c r="I16" s="75" t="n"/>
      <c r="J16" s="76" t="n"/>
      <c r="K16" s="8" t="n"/>
      <c r="L16" s="77" t="n"/>
      <c r="M16" s="13" t="n"/>
      <c r="N16" s="27" t="n"/>
      <c r="O16" s="13" t="n"/>
      <c r="P16" s="13" t="n"/>
    </row>
    <row r="17" ht="15.6" customHeight="1">
      <c r="A17" s="11" t="n"/>
      <c r="B17" s="7" t="n"/>
      <c r="C17" s="12" t="n"/>
      <c r="D17" s="12" t="n"/>
      <c r="E17" s="68" t="n"/>
      <c r="F17" s="73" t="n"/>
      <c r="G17" s="73" t="n"/>
      <c r="H17" s="74" t="n"/>
      <c r="I17" s="75" t="n"/>
      <c r="J17" s="76" t="n"/>
      <c r="K17" s="8" t="n"/>
      <c r="L17" s="77" t="n"/>
      <c r="M17" s="13" t="n"/>
      <c r="N17" s="27" t="n"/>
      <c r="O17" s="13" t="n"/>
      <c r="P17" s="13" t="n"/>
    </row>
    <row r="18" ht="15.6" customHeight="1">
      <c r="A18" s="11" t="n"/>
      <c r="B18" s="7" t="n"/>
      <c r="C18" s="12" t="n"/>
      <c r="D18" s="12" t="n"/>
      <c r="E18" s="68" t="n"/>
      <c r="F18" s="73" t="n"/>
      <c r="G18" s="73" t="n"/>
      <c r="H18" s="74" t="n"/>
      <c r="I18" s="75" t="n"/>
      <c r="J18" s="76" t="n"/>
      <c r="K18" s="8" t="n"/>
      <c r="L18" s="77" t="n"/>
      <c r="M18" s="13" t="n"/>
      <c r="N18" s="27" t="n"/>
      <c r="O18" s="13" t="n"/>
      <c r="P18" s="13" t="n"/>
    </row>
    <row r="19" ht="15.6" customHeight="1">
      <c r="A19" s="11" t="n"/>
      <c r="B19" s="7" t="n"/>
      <c r="C19" s="12" t="n"/>
      <c r="D19" s="12" t="n"/>
      <c r="E19" s="68" t="n"/>
      <c r="F19" s="73" t="n"/>
      <c r="G19" s="73" t="n"/>
      <c r="H19" s="74" t="n"/>
      <c r="I19" s="75" t="n"/>
      <c r="J19" s="76" t="n"/>
      <c r="K19" s="8" t="n"/>
      <c r="L19" s="77" t="n"/>
      <c r="M19" s="13" t="n"/>
      <c r="N19" s="27" t="n"/>
      <c r="O19" s="13" t="n"/>
      <c r="P19" s="13" t="n"/>
    </row>
    <row r="20" ht="15.6" customHeight="1">
      <c r="A20" s="11" t="n"/>
      <c r="B20" s="7" t="n"/>
      <c r="C20" s="12" t="n"/>
      <c r="D20" s="12" t="n"/>
      <c r="E20" s="68" t="n"/>
      <c r="F20" s="73" t="n"/>
      <c r="G20" s="73" t="n"/>
      <c r="H20" s="74" t="n"/>
      <c r="I20" s="75" t="n"/>
      <c r="J20" s="76" t="n"/>
      <c r="K20" s="8" t="n"/>
      <c r="L20" s="77" t="n"/>
      <c r="M20" s="13" t="n"/>
      <c r="N20" s="27" t="n"/>
      <c r="O20" s="13" t="n"/>
      <c r="P20" s="13" t="n"/>
    </row>
    <row r="21" ht="15.6" customHeight="1">
      <c r="A21" s="11" t="n"/>
      <c r="B21" s="7" t="n"/>
      <c r="C21" s="12" t="n"/>
      <c r="D21" s="12" t="n"/>
      <c r="E21" s="68" t="n"/>
      <c r="F21" s="73" t="n"/>
      <c r="G21" s="73" t="n"/>
      <c r="H21" s="74" t="n"/>
      <c r="I21" s="75" t="n"/>
      <c r="J21" s="76" t="n"/>
      <c r="K21" s="8" t="n"/>
      <c r="L21" s="77" t="n"/>
      <c r="M21" s="13" t="n"/>
      <c r="N21" s="27" t="n"/>
      <c r="O21" s="13" t="n"/>
      <c r="P21" s="13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C25" sqref="C25"/>
    </sheetView>
  </sheetViews>
  <sheetFormatPr baseColWidth="8" defaultRowHeight="14.4"/>
  <cols>
    <col width="38.109375" customWidth="1" min="2" max="2"/>
    <col width="13.109375" customWidth="1" min="3" max="3"/>
    <col width="15.33203125" customWidth="1" min="4" max="4"/>
  </cols>
  <sheetData>
    <row r="1" ht="23.4" customHeight="1">
      <c r="A1" s="22" t="n"/>
      <c r="B1" s="23" t="inlineStr">
        <is>
          <t>Babulal fafda</t>
        </is>
      </c>
      <c r="C1" s="23" t="inlineStr">
        <is>
          <t>Extra Staff Diwali-26</t>
        </is>
      </c>
      <c r="D1" s="23" t="n"/>
      <c r="E1" s="24" t="n"/>
      <c r="F1" s="22" t="n"/>
      <c r="G1" s="22" t="n"/>
      <c r="H1" s="22" t="n"/>
      <c r="I1" s="22" t="n"/>
      <c r="J1" s="67" t="n"/>
      <c r="K1" s="22" t="n"/>
      <c r="L1" s="22" t="n"/>
      <c r="M1" s="25" t="n"/>
      <c r="N1" s="25" t="n"/>
      <c r="O1" s="38" t="n"/>
      <c r="P1" s="38" t="n"/>
    </row>
    <row r="2" ht="32.4" customHeight="1">
      <c r="A2" s="14" t="inlineStr">
        <is>
          <t>No.</t>
        </is>
      </c>
      <c r="B2" s="15" t="inlineStr">
        <is>
          <t>Staff Name</t>
        </is>
      </c>
      <c r="C2" s="63" t="inlineStr">
        <is>
          <t>Designation</t>
        </is>
      </c>
      <c r="D2" s="63" t="inlineStr">
        <is>
          <t>Loctation</t>
        </is>
      </c>
      <c r="E2" s="68" t="inlineStr">
        <is>
          <t>Staff</t>
        </is>
      </c>
      <c r="F2" s="69" t="inlineStr">
        <is>
          <t>Sept Present</t>
        </is>
      </c>
      <c r="G2" s="69" t="inlineStr">
        <is>
          <t>Octo Present</t>
        </is>
      </c>
      <c r="H2" s="69" t="inlineStr">
        <is>
          <t>Total Present</t>
        </is>
      </c>
      <c r="I2" s="17" t="inlineStr">
        <is>
          <t>Per Day Pay</t>
        </is>
      </c>
      <c r="J2" s="70" t="inlineStr">
        <is>
          <t>Net Pay</t>
        </is>
      </c>
      <c r="K2" s="18" t="inlineStr">
        <is>
          <t>2026 Per Day</t>
        </is>
      </c>
      <c r="L2" s="71" t="inlineStr">
        <is>
          <t>Sweet Kg.</t>
        </is>
      </c>
      <c r="M2" s="71" t="inlineStr">
        <is>
          <t>Aadhar</t>
        </is>
      </c>
      <c r="N2" s="72" t="inlineStr">
        <is>
          <t>Mobile</t>
        </is>
      </c>
      <c r="O2" s="71" t="inlineStr">
        <is>
          <t>From Date</t>
        </is>
      </c>
      <c r="P2" s="71" t="inlineStr">
        <is>
          <t>To Date</t>
        </is>
      </c>
      <c r="Q2" t="inlineStr">
        <is>
          <t>App ID</t>
        </is>
      </c>
      <c r="R2" t="inlineStr">
        <is>
          <t>Employment Status</t>
        </is>
      </c>
      <c r="S2" t="inlineStr">
        <is>
          <t>Departure Date</t>
        </is>
      </c>
      <c r="T2" t="inlineStr">
        <is>
          <t>Departure Reason</t>
        </is>
      </c>
      <c r="U2" t="inlineStr">
        <is>
          <t>Status Verified</t>
        </is>
      </c>
    </row>
    <row r="3" ht="15.6" customHeight="1">
      <c r="A3" s="11">
        <f>ROW()-ROW($A$2)</f>
        <v/>
      </c>
      <c r="B3" s="12" t="inlineStr">
        <is>
          <t>Babubhai</t>
        </is>
      </c>
      <c r="C3" s="12" t="inlineStr">
        <is>
          <t>Karigar</t>
        </is>
      </c>
      <c r="D3" s="12" t="inlineStr">
        <is>
          <t>Stadium</t>
        </is>
      </c>
      <c r="E3" s="68" t="n">
        <v>1</v>
      </c>
      <c r="F3" s="73" t="n"/>
      <c r="G3" s="73" t="n">
        <v>6</v>
      </c>
      <c r="H3" s="74">
        <f>SUM(F3:G3)</f>
        <v/>
      </c>
      <c r="I3" s="75" t="n">
        <v>100</v>
      </c>
      <c r="J3" s="76">
        <f>SUM(H3*I3)</f>
        <v/>
      </c>
      <c r="K3" s="21" t="n"/>
      <c r="L3" s="77" t="n"/>
      <c r="M3" s="13" t="n"/>
      <c r="N3" s="27" t="n"/>
      <c r="O3" s="13" t="n"/>
      <c r="P3" s="13" t="n"/>
      <c r="Q3" t="inlineStr">
        <is>
          <t>EMP-363D45C9</t>
        </is>
      </c>
      <c r="R3" t="inlineStr">
        <is>
          <t>Active</t>
        </is>
      </c>
    </row>
    <row r="4" ht="15.6" customHeight="1">
      <c r="A4" s="11">
        <f>ROW()-ROW($A$2)</f>
        <v/>
      </c>
      <c r="B4" s="12" t="inlineStr">
        <is>
          <t>Bantubhai</t>
        </is>
      </c>
      <c r="C4" s="12" t="inlineStr">
        <is>
          <t>Karigar</t>
        </is>
      </c>
      <c r="D4" s="12" t="inlineStr">
        <is>
          <t>Stadium</t>
        </is>
      </c>
      <c r="E4" s="68" t="n">
        <v>1</v>
      </c>
      <c r="F4" s="73" t="n"/>
      <c r="G4" s="73" t="n">
        <v>6</v>
      </c>
      <c r="H4" s="74">
        <f>SUM(F4:G4)</f>
        <v/>
      </c>
      <c r="I4" s="75" t="n"/>
      <c r="J4" s="76">
        <f>SUM(H4*I4)</f>
        <v/>
      </c>
      <c r="K4" s="5" t="n"/>
      <c r="L4" s="78" t="n"/>
      <c r="M4" s="13" t="n"/>
      <c r="N4" s="27" t="n"/>
      <c r="O4" s="13" t="n"/>
      <c r="P4" s="13" t="n"/>
      <c r="Q4" t="inlineStr">
        <is>
          <t>EMP-764D278E</t>
        </is>
      </c>
      <c r="R4" t="inlineStr">
        <is>
          <t>Active</t>
        </is>
      </c>
    </row>
    <row r="5" ht="15.6" customHeight="1">
      <c r="A5" s="11">
        <f>ROW()-ROW($A$2)</f>
        <v/>
      </c>
      <c r="B5" s="12" t="inlineStr">
        <is>
          <t>Kalusingh</t>
        </is>
      </c>
      <c r="C5" s="12" t="inlineStr">
        <is>
          <t>Karigar</t>
        </is>
      </c>
      <c r="D5" s="12" t="inlineStr">
        <is>
          <t>Stadium</t>
        </is>
      </c>
      <c r="E5" s="68" t="n">
        <v>1</v>
      </c>
      <c r="F5" s="73" t="n"/>
      <c r="G5" s="73" t="n">
        <v>6</v>
      </c>
      <c r="H5" s="74">
        <f>SUM(F5:G5)</f>
        <v/>
      </c>
      <c r="I5" s="75" t="n"/>
      <c r="J5" s="76">
        <f>SUM(H5*I5)</f>
        <v/>
      </c>
      <c r="K5" s="5" t="n"/>
      <c r="L5" s="78" t="n"/>
      <c r="M5" s="13" t="n"/>
      <c r="N5" s="27" t="n"/>
      <c r="O5" s="13" t="n"/>
      <c r="P5" s="13" t="n"/>
      <c r="Q5" t="inlineStr">
        <is>
          <t>EMP-72E6FCA7</t>
        </is>
      </c>
      <c r="R5" t="inlineStr">
        <is>
          <t>Active</t>
        </is>
      </c>
    </row>
    <row r="6" ht="15.6" customHeight="1">
      <c r="A6" s="11">
        <f>ROW()-ROW($A$2)</f>
        <v/>
      </c>
      <c r="B6" s="12" t="inlineStr">
        <is>
          <t>Jagdishbhai</t>
        </is>
      </c>
      <c r="C6" s="12" t="inlineStr">
        <is>
          <t>Karigar</t>
        </is>
      </c>
      <c r="D6" s="12" t="inlineStr">
        <is>
          <t>Stadium</t>
        </is>
      </c>
      <c r="E6" s="68" t="n">
        <v>1</v>
      </c>
      <c r="F6" s="73" t="n"/>
      <c r="G6" s="73" t="n">
        <v>6</v>
      </c>
      <c r="H6" s="74">
        <f>SUM(F6:G6)</f>
        <v/>
      </c>
      <c r="I6" s="75" t="n"/>
      <c r="J6" s="76">
        <f>SUM(H6*I6)</f>
        <v/>
      </c>
      <c r="K6" s="5" t="n"/>
      <c r="L6" s="78" t="n"/>
      <c r="M6" s="13" t="n"/>
      <c r="N6" s="27" t="n"/>
      <c r="O6" s="13" t="n"/>
      <c r="P6" s="13" t="n"/>
      <c r="Q6" t="inlineStr">
        <is>
          <t>EMP-5B97884C</t>
        </is>
      </c>
      <c r="R6" t="inlineStr">
        <is>
          <t>Active</t>
        </is>
      </c>
    </row>
    <row r="7" ht="15.6" customHeight="1">
      <c r="A7" s="11">
        <f>ROW()-ROW($A$2)</f>
        <v/>
      </c>
      <c r="B7" s="12" t="inlineStr">
        <is>
          <t>Manishbhai</t>
        </is>
      </c>
      <c r="C7" s="12" t="inlineStr">
        <is>
          <t>Karigar</t>
        </is>
      </c>
      <c r="D7" s="12" t="inlineStr">
        <is>
          <t>Stadium</t>
        </is>
      </c>
      <c r="E7" s="68" t="n">
        <v>1</v>
      </c>
      <c r="F7" s="73" t="n"/>
      <c r="G7" s="73" t="n">
        <v>6</v>
      </c>
      <c r="H7" s="74">
        <f>SUM(F7:G7)</f>
        <v/>
      </c>
      <c r="I7" s="75" t="n"/>
      <c r="J7" s="76">
        <f>SUM(H7*I7)</f>
        <v/>
      </c>
      <c r="K7" s="5" t="n"/>
      <c r="L7" s="78" t="n"/>
      <c r="M7" s="13" t="n"/>
      <c r="N7" s="27" t="n"/>
      <c r="O7" s="13" t="n"/>
      <c r="P7" s="13" t="n"/>
      <c r="Q7" t="inlineStr">
        <is>
          <t>EMP-83A98E14</t>
        </is>
      </c>
      <c r="R7" t="inlineStr">
        <is>
          <t>Active</t>
        </is>
      </c>
    </row>
    <row r="8" ht="15.6" customHeight="1">
      <c r="A8" s="11">
        <f>ROW()-ROW($A$2)</f>
        <v/>
      </c>
      <c r="B8" s="12" t="inlineStr">
        <is>
          <t>Chavan Das</t>
        </is>
      </c>
      <c r="C8" s="12" t="inlineStr">
        <is>
          <t>Helper</t>
        </is>
      </c>
      <c r="D8" s="12" t="inlineStr">
        <is>
          <t>Stadium</t>
        </is>
      </c>
      <c r="E8" s="68" t="n">
        <v>1</v>
      </c>
      <c r="F8" s="73" t="n"/>
      <c r="G8" s="73" t="n">
        <v>6</v>
      </c>
      <c r="H8" s="74">
        <f>SUM(F8:G8)</f>
        <v/>
      </c>
      <c r="I8" s="75" t="n"/>
      <c r="J8" s="76">
        <f>SUM(H8*I8)</f>
        <v/>
      </c>
      <c r="K8" s="5" t="n"/>
      <c r="L8" s="78" t="n"/>
      <c r="M8" s="13" t="n"/>
      <c r="N8" s="27" t="n"/>
      <c r="O8" s="13" t="n"/>
      <c r="P8" s="13" t="n"/>
      <c r="Q8" t="inlineStr">
        <is>
          <t>EMP-B7D03F16</t>
        </is>
      </c>
      <c r="R8" t="inlineStr">
        <is>
          <t>Active</t>
        </is>
      </c>
    </row>
    <row r="9" ht="15.6" customHeight="1">
      <c r="A9" s="11">
        <f>ROW()-ROW($A$2)</f>
        <v/>
      </c>
      <c r="B9" s="12" t="inlineStr">
        <is>
          <t>Devisingh</t>
        </is>
      </c>
      <c r="C9" s="12" t="inlineStr">
        <is>
          <t>Helper</t>
        </is>
      </c>
      <c r="D9" s="12" t="inlineStr">
        <is>
          <t>Stadium</t>
        </is>
      </c>
      <c r="E9" s="68" t="n">
        <v>1</v>
      </c>
      <c r="F9" s="73" t="n"/>
      <c r="G9" s="73" t="n">
        <v>6</v>
      </c>
      <c r="H9" s="74">
        <f>SUM(F9:G9)</f>
        <v/>
      </c>
      <c r="I9" s="75" t="n"/>
      <c r="J9" s="76">
        <f>SUM(H9*I9)</f>
        <v/>
      </c>
      <c r="K9" s="5" t="n"/>
      <c r="L9" s="78" t="n"/>
      <c r="M9" s="13" t="n"/>
      <c r="N9" s="27" t="n"/>
      <c r="O9" s="13" t="n"/>
      <c r="P9" s="13" t="n"/>
      <c r="Q9" t="inlineStr">
        <is>
          <t>EMP-EF5FBE5A</t>
        </is>
      </c>
      <c r="R9" t="inlineStr">
        <is>
          <t>Active</t>
        </is>
      </c>
    </row>
    <row r="10" ht="15.6" customHeight="1">
      <c r="A10" s="11">
        <f>ROW()-ROW($A$2)</f>
        <v/>
      </c>
      <c r="B10" s="12" t="inlineStr">
        <is>
          <t>Jigar</t>
        </is>
      </c>
      <c r="C10" s="12" t="inlineStr">
        <is>
          <t>Helper</t>
        </is>
      </c>
      <c r="D10" s="12" t="inlineStr">
        <is>
          <t>Stadium</t>
        </is>
      </c>
      <c r="E10" s="68" t="n">
        <v>1</v>
      </c>
      <c r="F10" s="73" t="n"/>
      <c r="G10" s="73" t="n">
        <v>6</v>
      </c>
      <c r="H10" s="74">
        <f>SUM(F10:G10)</f>
        <v/>
      </c>
      <c r="I10" s="75" t="n"/>
      <c r="J10" s="76">
        <f>SUM(H10*I10)</f>
        <v/>
      </c>
      <c r="K10" s="5" t="n"/>
      <c r="L10" s="78" t="n"/>
      <c r="M10" s="13" t="n"/>
      <c r="N10" s="27" t="n"/>
      <c r="O10" s="13" t="n"/>
      <c r="P10" s="13" t="n"/>
      <c r="Q10" t="inlineStr">
        <is>
          <t>EMP-9A4FD895</t>
        </is>
      </c>
      <c r="R10" t="inlineStr">
        <is>
          <t>Active</t>
        </is>
      </c>
    </row>
    <row r="11" ht="15.6" customHeight="1">
      <c r="A11" s="11">
        <f>ROW()-ROW($A$2)</f>
        <v/>
      </c>
      <c r="B11" s="12" t="inlineStr">
        <is>
          <t>Kailash</t>
        </is>
      </c>
      <c r="C11" s="12" t="inlineStr">
        <is>
          <t>Helper</t>
        </is>
      </c>
      <c r="D11" s="12" t="inlineStr">
        <is>
          <t>Stadium</t>
        </is>
      </c>
      <c r="E11" s="68" t="n">
        <v>1</v>
      </c>
      <c r="F11" s="73" t="n"/>
      <c r="G11" s="73" t="n">
        <v>6</v>
      </c>
      <c r="H11" s="74">
        <f>SUM(F11:G11)</f>
        <v/>
      </c>
      <c r="I11" s="75" t="n"/>
      <c r="J11" s="76">
        <f>SUM(H11*I11)</f>
        <v/>
      </c>
      <c r="K11" s="5" t="n"/>
      <c r="L11" s="78" t="n"/>
      <c r="M11" s="13" t="n"/>
      <c r="N11" s="27" t="n"/>
      <c r="O11" s="13" t="n"/>
      <c r="P11" s="13" t="n"/>
      <c r="Q11" t="inlineStr">
        <is>
          <t>EMP-5BFFC3A2</t>
        </is>
      </c>
      <c r="R11" t="inlineStr">
        <is>
          <t>Active</t>
        </is>
      </c>
    </row>
    <row r="12" ht="15.6" customHeight="1">
      <c r="A12" s="11" t="n"/>
      <c r="B12" s="7" t="n"/>
      <c r="C12" s="12" t="n"/>
      <c r="D12" s="12" t="n"/>
      <c r="E12" s="68" t="n"/>
      <c r="F12" s="73" t="n"/>
      <c r="G12" s="73" t="n"/>
      <c r="H12" s="74" t="n"/>
      <c r="I12" s="75" t="n"/>
      <c r="J12" s="76" t="n"/>
      <c r="K12" s="8" t="n"/>
      <c r="L12" s="77" t="n"/>
      <c r="M12" s="13" t="n"/>
      <c r="N12" s="27" t="n"/>
      <c r="O12" s="13" t="n"/>
      <c r="P12" s="13" t="n"/>
    </row>
    <row r="13" ht="15.6" customHeight="1">
      <c r="A13" s="11" t="n"/>
      <c r="B13" s="7" t="n"/>
      <c r="C13" s="12" t="n"/>
      <c r="D13" s="12" t="n"/>
      <c r="E13" s="68" t="n"/>
      <c r="F13" s="73" t="n"/>
      <c r="G13" s="73" t="n"/>
      <c r="H13" s="74" t="n"/>
      <c r="I13" s="75" t="n"/>
      <c r="J13" s="76" t="n"/>
      <c r="K13" s="8" t="n"/>
      <c r="L13" s="77" t="n"/>
      <c r="M13" s="13" t="n"/>
      <c r="N13" s="27" t="n"/>
      <c r="O13" s="13" t="n"/>
      <c r="P13" s="13" t="n"/>
    </row>
    <row r="14" ht="15.6" customHeight="1">
      <c r="A14" s="11" t="n"/>
      <c r="B14" s="7" t="n"/>
      <c r="C14" s="12" t="n"/>
      <c r="D14" s="12" t="n"/>
      <c r="E14" s="68" t="n"/>
      <c r="F14" s="73" t="n"/>
      <c r="G14" s="73" t="n"/>
      <c r="H14" s="74" t="n"/>
      <c r="I14" s="75" t="n"/>
      <c r="J14" s="76" t="n"/>
      <c r="K14" s="8" t="n"/>
      <c r="L14" s="77" t="n"/>
      <c r="M14" s="13" t="n"/>
      <c r="N14" s="27" t="n"/>
      <c r="O14" s="13" t="n"/>
      <c r="P14" s="13" t="n"/>
    </row>
    <row r="15" ht="15.6" customHeight="1">
      <c r="A15" s="11" t="n"/>
      <c r="B15" s="7" t="n"/>
      <c r="C15" s="12" t="n"/>
      <c r="D15" s="12" t="n"/>
      <c r="E15" s="68" t="n"/>
      <c r="F15" s="73" t="n"/>
      <c r="G15" s="73" t="n"/>
      <c r="H15" s="74" t="n"/>
      <c r="I15" s="75" t="n"/>
      <c r="J15" s="76" t="n"/>
      <c r="K15" s="8" t="n"/>
      <c r="L15" s="77" t="n"/>
      <c r="M15" s="13" t="n"/>
      <c r="N15" s="27" t="n"/>
      <c r="O15" s="13" t="n"/>
      <c r="P15" s="13" t="n"/>
    </row>
    <row r="16" ht="15.6" customHeight="1">
      <c r="A16" s="11" t="n"/>
      <c r="B16" s="7" t="n"/>
      <c r="C16" s="12" t="n"/>
      <c r="D16" s="12" t="n"/>
      <c r="E16" s="68" t="n"/>
      <c r="F16" s="73" t="n"/>
      <c r="G16" s="73" t="n"/>
      <c r="H16" s="74" t="n"/>
      <c r="I16" s="75" t="n"/>
      <c r="J16" s="76" t="n"/>
      <c r="K16" s="8" t="n"/>
      <c r="L16" s="77" t="n"/>
      <c r="M16" s="13" t="n"/>
      <c r="N16" s="27" t="n"/>
      <c r="O16" s="13" t="n"/>
      <c r="P16" s="13" t="n"/>
    </row>
    <row r="17" ht="15.6" customHeight="1">
      <c r="A17" s="11" t="n"/>
      <c r="B17" s="7" t="n"/>
      <c r="C17" s="12" t="n"/>
      <c r="D17" s="12" t="n"/>
      <c r="E17" s="68" t="n"/>
      <c r="F17" s="73" t="n"/>
      <c r="G17" s="73" t="n"/>
      <c r="H17" s="74" t="n"/>
      <c r="I17" s="75" t="n"/>
      <c r="J17" s="76" t="n"/>
      <c r="K17" s="8" t="n"/>
      <c r="L17" s="77" t="n"/>
      <c r="M17" s="13" t="n"/>
      <c r="N17" s="27" t="n"/>
      <c r="O17" s="13" t="n"/>
      <c r="P17" s="13" t="n"/>
    </row>
    <row r="18" ht="15.6" customHeight="1">
      <c r="A18" s="11" t="n"/>
      <c r="B18" s="7" t="n"/>
      <c r="C18" s="12" t="n"/>
      <c r="D18" s="12" t="n"/>
      <c r="E18" s="68" t="n"/>
      <c r="F18" s="73" t="n"/>
      <c r="G18" s="73" t="n"/>
      <c r="H18" s="74" t="n"/>
      <c r="I18" s="75" t="n"/>
      <c r="J18" s="76" t="n"/>
      <c r="K18" s="8" t="n"/>
      <c r="L18" s="77" t="n"/>
      <c r="M18" s="13" t="n"/>
      <c r="N18" s="27" t="n"/>
      <c r="O18" s="13" t="n"/>
      <c r="P18" s="13" t="n"/>
    </row>
    <row r="19" ht="15.6" customHeight="1">
      <c r="A19" s="11" t="n"/>
      <c r="B19" s="7" t="n"/>
      <c r="C19" s="12" t="n"/>
      <c r="D19" s="12" t="n"/>
      <c r="E19" s="68" t="n"/>
      <c r="F19" s="73" t="n"/>
      <c r="G19" s="73" t="n"/>
      <c r="H19" s="74" t="n"/>
      <c r="I19" s="75" t="n"/>
      <c r="J19" s="76" t="n"/>
      <c r="K19" s="8" t="n"/>
      <c r="L19" s="77" t="n"/>
      <c r="M19" s="13" t="n"/>
      <c r="N19" s="27" t="n"/>
      <c r="O19" s="13" t="n"/>
      <c r="P19" s="13" t="n"/>
    </row>
    <row r="20" ht="15.6" customHeight="1">
      <c r="A20" s="11" t="inlineStr">
        <is>
          <t>A</t>
        </is>
      </c>
      <c r="B20" s="12" t="inlineStr">
        <is>
          <t>Chirag Patel (Order)</t>
        </is>
      </c>
      <c r="C20" s="12" t="n"/>
      <c r="D20" s="12" t="inlineStr">
        <is>
          <t>Stadium</t>
        </is>
      </c>
      <c r="E20" s="68" t="n">
        <v>1</v>
      </c>
      <c r="F20" s="73" t="n"/>
      <c r="G20" s="73" t="n">
        <v>5</v>
      </c>
      <c r="H20" s="74">
        <f>SUM(F20:G20)</f>
        <v/>
      </c>
      <c r="I20" s="75" t="n"/>
      <c r="J20" s="76">
        <f>SUM(H20*I20)</f>
        <v/>
      </c>
      <c r="K20" s="5" t="n"/>
      <c r="L20" s="78" t="n"/>
      <c r="M20" s="13" t="n"/>
      <c r="N20" s="27" t="n"/>
      <c r="O20" s="13" t="n"/>
      <c r="P20" s="13" t="n"/>
      <c r="Q20" t="inlineStr">
        <is>
          <t>EMP-2A8023E4</t>
        </is>
      </c>
      <c r="R20" t="inlineStr">
        <is>
          <t>Active</t>
        </is>
      </c>
    </row>
    <row r="21" ht="15.6" customHeight="1">
      <c r="A21" s="11" t="n"/>
      <c r="B21" s="7" t="n"/>
      <c r="C21" s="12" t="n"/>
      <c r="D21" s="12" t="n"/>
      <c r="E21" s="68" t="n"/>
      <c r="F21" s="73" t="n"/>
      <c r="G21" s="73" t="n"/>
      <c r="H21" s="74" t="n"/>
      <c r="I21" s="75" t="n"/>
      <c r="J21" s="76" t="n"/>
      <c r="K21" s="8" t="n"/>
      <c r="L21" s="77" t="n"/>
      <c r="M21" s="13" t="n"/>
      <c r="N21" s="27" t="n"/>
      <c r="O21" s="13" t="n"/>
      <c r="P21" s="13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Key</t>
        </is>
      </c>
      <c r="B1" t="inlineStr">
        <is>
          <t>Date</t>
        </is>
      </c>
      <c r="C1" t="inlineStr">
        <is>
          <t>Employee ID</t>
        </is>
      </c>
      <c r="D1" t="inlineStr">
        <is>
          <t>Group</t>
        </is>
      </c>
      <c r="E1" t="inlineStr">
        <is>
          <t>Status</t>
        </is>
      </c>
      <c r="F1" t="inlineStr">
        <is>
          <t>Notes</t>
        </is>
      </c>
      <c r="G1" t="inlineStr">
        <is>
          <t>Updated At</t>
        </is>
      </c>
      <c r="H1" t="inlineStr">
        <is>
          <t>Updated By</t>
        </is>
      </c>
    </row>
    <row r="2">
      <c r="A2" t="inlineStr">
        <is>
          <t>EMP-DA4ABB9F|2026-10-19</t>
        </is>
      </c>
      <c r="B2" t="inlineStr">
        <is>
          <t>2026-10-19</t>
        </is>
      </c>
      <c r="C2" t="inlineStr">
        <is>
          <t>EMP-DA4ABB9F</t>
        </is>
      </c>
      <c r="D2" t="inlineStr">
        <is>
          <t>Babulal</t>
        </is>
      </c>
      <c r="G2" t="inlineStr">
        <is>
          <t>2026-10-19T22:59:43+05:30</t>
        </is>
      </c>
      <c r="H2" t="inlineStr">
        <is>
          <t>dev-admin@local.test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Timestamp</t>
        </is>
      </c>
      <c r="B1" t="inlineStr">
        <is>
          <t>Actor</t>
        </is>
      </c>
      <c r="C1" t="inlineStr">
        <is>
          <t>Action</t>
        </is>
      </c>
      <c r="D1" t="inlineStr">
        <is>
          <t>Employee ID</t>
        </is>
      </c>
      <c r="E1" t="inlineStr">
        <is>
          <t>Group</t>
        </is>
      </c>
      <c r="F1" t="inlineStr">
        <is>
          <t>Field</t>
        </is>
      </c>
      <c r="G1" t="inlineStr">
        <is>
          <t>Before</t>
        </is>
      </c>
      <c r="H1" t="inlineStr">
        <is>
          <t>After</t>
        </is>
      </c>
      <c r="I1" t="inlineStr">
        <is>
          <t>Note</t>
        </is>
      </c>
    </row>
    <row r="2">
      <c r="A2" t="inlineStr">
        <is>
          <t>2026-10-19T22:59:20+05:30</t>
        </is>
      </c>
      <c r="B2" t="inlineStr">
        <is>
          <t>dev-admin@local.test</t>
        </is>
      </c>
      <c r="C2" t="inlineStr">
        <is>
          <t>workbook_setup</t>
        </is>
      </c>
      <c r="I2" t="inlineStr">
        <is>
          <t>backup=test_workbook__BACKUP__before-id-setup__20261019-225843-382884.xlsx; ids_assigned=251</t>
        </is>
      </c>
    </row>
    <row r="3">
      <c r="A3" t="inlineStr">
        <is>
          <t>2026-10-19T22:59:37+05:30</t>
        </is>
      </c>
      <c r="B3" t="inlineStr">
        <is>
          <t>dev-admin@local.test</t>
        </is>
      </c>
      <c r="C3" t="inlineStr">
        <is>
          <t>attendance</t>
        </is>
      </c>
      <c r="D3" t="inlineStr">
        <is>
          <t>EMP-DA4ABB9F</t>
        </is>
      </c>
      <c r="E3" t="inlineStr">
        <is>
          <t>Babulal</t>
        </is>
      </c>
      <c r="F3" t="inlineStr">
        <is>
          <t>2026-10-19</t>
        </is>
      </c>
      <c r="G3" t="inlineStr">
        <is>
          <t>Not Recorded</t>
        </is>
      </c>
      <c r="H3" t="inlineStr">
        <is>
          <t>Present</t>
        </is>
      </c>
    </row>
    <row r="4">
      <c r="A4" t="inlineStr">
        <is>
          <t>2026-10-19T22:59:43+05:30</t>
        </is>
      </c>
      <c r="B4" t="inlineStr">
        <is>
          <t>dev-admin@local.test</t>
        </is>
      </c>
      <c r="C4" t="inlineStr">
        <is>
          <t>attendance</t>
        </is>
      </c>
      <c r="D4" t="inlineStr">
        <is>
          <t>EMP-DA4ABB9F</t>
        </is>
      </c>
      <c r="E4" t="inlineStr">
        <is>
          <t>Babulal</t>
        </is>
      </c>
      <c r="F4" t="inlineStr">
        <is>
          <t>2026-10-19</t>
        </is>
      </c>
      <c r="G4" t="inlineStr">
        <is>
          <t>Present</t>
        </is>
      </c>
      <c r="H4" t="inlineStr">
        <is>
          <t>Not Recorded</t>
        </is>
      </c>
    </row>
    <row r="5">
      <c r="A5" t="inlineStr">
        <is>
          <t>2026-10-19T23:20:53+05:30</t>
        </is>
      </c>
      <c r="B5" t="inlineStr">
        <is>
          <t>admin@local.test</t>
        </is>
      </c>
      <c r="C5" t="inlineStr">
        <is>
          <t>workbook_setup</t>
        </is>
      </c>
      <c r="I5" t="inlineStr">
        <is>
          <t>backup=test_workbook__BACKUP__before-id-setup__20261019-232052-882327.xlsx; ids_assigned=0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Key</t>
        </is>
      </c>
      <c r="B1" t="inlineStr">
        <is>
          <t>Value (JSON)</t>
        </is>
      </c>
      <c r="C1" t="inlineStr">
        <is>
          <t>Updated At</t>
        </is>
      </c>
      <c r="D1" t="inlineStr">
        <is>
          <t>Updated By</t>
        </is>
      </c>
    </row>
    <row r="2">
      <c r="A2" t="inlineStr">
        <is>
          <t>id_migration_done_at</t>
        </is>
      </c>
      <c r="B2" t="inlineStr">
        <is>
          <t>"2026-10-19T23:20:53+05:30"</t>
        </is>
      </c>
      <c r="C2" t="inlineStr">
        <is>
          <t>2026-10-19T23:20:53+05:30</t>
        </is>
      </c>
      <c r="D2" t="inlineStr">
        <is>
          <t>admin@local.test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2026-10-16T07:53:19Z</dcterms:created>
  <dcterms:modified xsi:type="dcterms:W3CDTF">2026-10-19T17:52:23Z</dcterms:modified>
  <cp:lastModifiedBy>HELLY GAJJAR</cp:lastModifiedBy>
  <cp:lastPrinted>2026-10-16T08:24:17Z</cp:lastPrinted>
</cp:coreProperties>
</file>